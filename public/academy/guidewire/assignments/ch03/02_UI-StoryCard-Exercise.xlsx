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tables/table3.xml" ContentType="application/vnd.openxmlformats-officedocument.spreadsheetml.table+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https://intimeesolutions-my.sharepoint.com/personal/sumanth_intimeesolutions_com/Documents/Intime E-Solutions/Trainings/Guidewire/Material/Chapter 3&amp;4- InsuranceSuite Implementation Tools/"/>
    </mc:Choice>
  </mc:AlternateContent>
  <xr:revisionPtr revIDLastSave="44" documentId="8_{A6A60BE2-2F70-4CE3-A84D-31862774316B}" xr6:coauthVersionLast="47" xr6:coauthVersionMax="47" xr10:uidLastSave="{28A8AB80-C3A9-46F2-8B08-5CB7B0831634}"/>
  <bookViews>
    <workbookView xWindow="-108" yWindow="-108" windowWidth="23256" windowHeight="12456" tabRatio="889" xr2:uid="{00000000-000D-0000-FFFF-FFFF00000000}"/>
  </bookViews>
  <sheets>
    <sheet name="Document Control" sheetId="8" r:id="rId1"/>
    <sheet name="UI Mockup" sheetId="33" r:id="rId2"/>
    <sheet name="UI Fields" sheetId="20" r:id="rId3"/>
    <sheet name="Typelists" sheetId="30" r:id="rId4"/>
    <sheet name="UI Validation &amp; Business Rules" sheetId="23" r:id="rId5"/>
    <sheet name="Action Items" sheetId="32" r:id="rId6"/>
    <sheet name="Business Acceptance" sheetId="22" r:id="rId7"/>
    <sheet name="UI Final" sheetId="34" r:id="rId8"/>
    <sheet name="Implementation Details" sheetId="35" r:id="rId9"/>
    <sheet name="Estimation" sheetId="28" r:id="rId10"/>
    <sheet name="Dropdown Lists" sheetId="31" r:id="rId11"/>
  </sheets>
  <definedNames>
    <definedName name="_xlnm._FilterDatabase" localSheetId="3" hidden="1">Typelists!$B$15:$C$15</definedName>
    <definedName name="_xlnm._FilterDatabase" localSheetId="2" hidden="1">'UI Fields'!$C$15:$D$15</definedName>
    <definedName name="_xlnm._FilterDatabase" localSheetId="4" hidden="1">'UI Validation &amp; Business Rules'!$B$15:$C$17</definedName>
    <definedName name="Alignment">'Document Control'!$G$7</definedName>
    <definedName name="BusinessProcessFlowLinks">'Document Control'!$C$12</definedName>
    <definedName name="BusinessValue">'Document Control'!$C$18</definedName>
    <definedName name="ChangeSummary">'Document Control'!$C$19</definedName>
    <definedName name="CustomerAssumptions">'Document Control'!$C$16</definedName>
    <definedName name="CustomerDescription">'Document Control'!$C$17</definedName>
    <definedName name="CustomerPoints">'Document Control'!$G$12</definedName>
    <definedName name="Description">'Document Control'!$C$14</definedName>
    <definedName name="FastPathFactor">'Document Control'!$C$11</definedName>
    <definedName name="GWID">'Document Control'!$G$6</definedName>
    <definedName name="isFastPath">'Document Control'!$C$10</definedName>
    <definedName name="Product">'Document Control'!$C$4</definedName>
    <definedName name="RiskRating">'Document Control'!$G$8</definedName>
    <definedName name="StoryAssumptions">'Document Control'!$C$15</definedName>
    <definedName name="StoryName">'Document Control'!$C$5</definedName>
    <definedName name="StoryNumber">'Document Control'!$G$4</definedName>
    <definedName name="StoryPoints">'Document Control'!$G$11</definedName>
    <definedName name="StoryType">'Document Control'!$C$8</definedName>
    <definedName name="Theme">'Document Control'!$C$6</definedName>
    <definedName name="ValueScore">'Document Control'!$C$7</definedName>
    <definedName name="WorkBucketType">'Document Control'!$G$10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8" l="1"/>
  <c r="D24" i="28"/>
  <c r="D23" i="28"/>
  <c r="D22" i="28"/>
  <c r="D21" i="28"/>
  <c r="B7" i="28" l="1"/>
  <c r="B7" i="35"/>
  <c r="B7" i="34"/>
  <c r="B7" i="22"/>
  <c r="B7" i="32"/>
  <c r="B7" i="23"/>
  <c r="B7" i="30"/>
  <c r="B7" i="20"/>
  <c r="B7" i="33"/>
  <c r="C10" i="33" l="1"/>
  <c r="D6" i="20" l="1"/>
  <c r="D5" i="20"/>
  <c r="D4" i="20"/>
  <c r="E12" i="23" l="1"/>
  <c r="C12" i="23"/>
  <c r="E11" i="23"/>
  <c r="C11" i="23"/>
  <c r="E10" i="23"/>
  <c r="C10" i="23"/>
  <c r="E9" i="23"/>
  <c r="C9" i="23"/>
  <c r="E8" i="23"/>
  <c r="C8" i="23"/>
  <c r="E7" i="23"/>
  <c r="C7" i="23"/>
  <c r="E6" i="23"/>
  <c r="C6" i="23"/>
  <c r="E5" i="23"/>
  <c r="C5" i="23"/>
  <c r="E4" i="23"/>
  <c r="C4" i="23"/>
  <c r="G12" i="32"/>
  <c r="C12" i="32"/>
  <c r="G11" i="32"/>
  <c r="C11" i="32"/>
  <c r="G10" i="32"/>
  <c r="C10" i="32"/>
  <c r="G9" i="32"/>
  <c r="C9" i="32"/>
  <c r="G8" i="32"/>
  <c r="C8" i="32"/>
  <c r="G7" i="32"/>
  <c r="C7" i="32"/>
  <c r="G6" i="32"/>
  <c r="C6" i="32"/>
  <c r="G5" i="32"/>
  <c r="C5" i="32"/>
  <c r="G4" i="32"/>
  <c r="C4" i="32"/>
  <c r="F12" i="22"/>
  <c r="F11" i="22"/>
  <c r="F10" i="22"/>
  <c r="F9" i="22"/>
  <c r="F8" i="22"/>
  <c r="F7" i="22"/>
  <c r="F6" i="22"/>
  <c r="F5" i="22"/>
  <c r="F4" i="22"/>
  <c r="C12" i="22"/>
  <c r="C11" i="22"/>
  <c r="C10" i="22"/>
  <c r="C9" i="22"/>
  <c r="C8" i="22"/>
  <c r="C7" i="22"/>
  <c r="C6" i="22"/>
  <c r="C5" i="22"/>
  <c r="C4" i="22"/>
  <c r="G12" i="34"/>
  <c r="C12" i="34"/>
  <c r="G11" i="34"/>
  <c r="C11" i="34"/>
  <c r="G10" i="34"/>
  <c r="C10" i="34"/>
  <c r="G9" i="34"/>
  <c r="C9" i="34"/>
  <c r="G8" i="34"/>
  <c r="C8" i="34"/>
  <c r="G7" i="34"/>
  <c r="C7" i="34"/>
  <c r="G6" i="34"/>
  <c r="C6" i="34"/>
  <c r="G5" i="34"/>
  <c r="C5" i="34"/>
  <c r="G4" i="34"/>
  <c r="C4" i="34"/>
  <c r="G12" i="35"/>
  <c r="G11" i="35"/>
  <c r="G10" i="35"/>
  <c r="G9" i="35"/>
  <c r="G8" i="35"/>
  <c r="G7" i="35"/>
  <c r="G6" i="35"/>
  <c r="G5" i="35"/>
  <c r="G4" i="35"/>
  <c r="C12" i="35"/>
  <c r="C11" i="35"/>
  <c r="C10" i="35"/>
  <c r="C9" i="35"/>
  <c r="C8" i="35"/>
  <c r="C7" i="35"/>
  <c r="C6" i="35"/>
  <c r="C5" i="35"/>
  <c r="C4" i="35"/>
  <c r="E12" i="28"/>
  <c r="E11" i="28"/>
  <c r="E10" i="28"/>
  <c r="E9" i="28"/>
  <c r="E8" i="28"/>
  <c r="E7" i="28"/>
  <c r="E6" i="28"/>
  <c r="E5" i="28"/>
  <c r="E4" i="28"/>
  <c r="C6" i="28"/>
  <c r="C7" i="28"/>
  <c r="C8" i="28"/>
  <c r="C9" i="28"/>
  <c r="C10" i="28"/>
  <c r="C11" i="28"/>
  <c r="C12" i="28"/>
  <c r="C5" i="28"/>
  <c r="C4" i="28"/>
  <c r="H12" i="30"/>
  <c r="D12" i="30"/>
  <c r="H11" i="30"/>
  <c r="D11" i="30"/>
  <c r="H10" i="30"/>
  <c r="D10" i="30"/>
  <c r="H9" i="30"/>
  <c r="D9" i="30"/>
  <c r="H8" i="30"/>
  <c r="D8" i="30"/>
  <c r="H7" i="30"/>
  <c r="D7" i="30"/>
  <c r="H6" i="30"/>
  <c r="D6" i="30"/>
  <c r="H5" i="30"/>
  <c r="D5" i="30"/>
  <c r="H4" i="30"/>
  <c r="D4" i="30"/>
  <c r="H12" i="20"/>
  <c r="H11" i="20"/>
  <c r="H10" i="20"/>
  <c r="H9" i="20"/>
  <c r="H8" i="20"/>
  <c r="H7" i="20"/>
  <c r="H6" i="20"/>
  <c r="H5" i="20"/>
  <c r="H4" i="20"/>
  <c r="D12" i="20"/>
  <c r="D11" i="20"/>
  <c r="D10" i="20"/>
  <c r="D9" i="20"/>
  <c r="D8" i="20"/>
  <c r="D7" i="20"/>
  <c r="G12" i="33"/>
  <c r="G11" i="33"/>
  <c r="G10" i="33"/>
  <c r="G9" i="33"/>
  <c r="G8" i="33"/>
  <c r="G7" i="33"/>
  <c r="G6" i="33"/>
  <c r="G5" i="33"/>
  <c r="G4" i="33"/>
  <c r="C12" i="33"/>
  <c r="C11" i="33"/>
  <c r="C9" i="33"/>
  <c r="C8" i="33"/>
  <c r="C7" i="33"/>
  <c r="C6" i="33"/>
  <c r="C5" i="33"/>
  <c r="C4" i="33"/>
  <c r="D17" i="28" l="1"/>
  <c r="D19" i="28"/>
  <c r="D20" i="28"/>
  <c r="D26" i="28"/>
  <c r="C27" i="28"/>
  <c r="D15" i="28" s="1"/>
  <c r="D18" i="28" l="1"/>
  <c r="D16" i="28"/>
  <c r="D27"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gwuser</author>
    <author>gw</author>
  </authors>
  <commentList>
    <comment ref="E4" authorId="0" shapeId="0" xr:uid="{00000000-0006-0000-0000-000001000000}">
      <text>
        <r>
          <rPr>
            <b/>
            <sz val="8"/>
            <color indexed="81"/>
            <rFont val="Tahoma"/>
            <family val="2"/>
          </rPr>
          <t>gwuser:</t>
        </r>
        <r>
          <rPr>
            <sz val="8"/>
            <color indexed="81"/>
            <rFont val="Tahoma"/>
            <family val="2"/>
          </rPr>
          <t xml:space="preserve">
This may be a customer ID number for the user story or the Rally user story number.</t>
        </r>
      </text>
    </comment>
    <comment ref="B5" authorId="0" shapeId="0" xr:uid="{00000000-0006-0000-0000-000002000000}">
      <text>
        <r>
          <rPr>
            <b/>
            <sz val="8"/>
            <color indexed="81"/>
            <rFont val="Tahoma"/>
            <family val="2"/>
          </rPr>
          <t>gwuser:</t>
        </r>
        <r>
          <rPr>
            <sz val="8"/>
            <color indexed="81"/>
            <rFont val="Tahoma"/>
            <family val="2"/>
          </rPr>
          <t xml:space="preserve">
Use the story name from the planner and/or Rally</t>
        </r>
      </text>
    </comment>
    <comment ref="E5" authorId="0" shapeId="0" xr:uid="{00000000-0006-0000-0000-00000300000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B6" authorId="0" shapeId="0" xr:uid="{00000000-0006-0000-0000-000004000000}">
      <text>
        <r>
          <rPr>
            <b/>
            <sz val="8"/>
            <color indexed="81"/>
            <rFont val="Tahoma"/>
            <family val="2"/>
          </rPr>
          <t>gwuser:</t>
        </r>
        <r>
          <rPr>
            <sz val="8"/>
            <color indexed="81"/>
            <rFont val="Tahoma"/>
            <family val="2"/>
          </rPr>
          <t xml:space="preserve">
Theme is used on projects during project health checks, value alignment, and milestone testing.</t>
        </r>
      </text>
    </comment>
    <comment ref="E6" authorId="0" shapeId="0" xr:uid="{00000000-0006-0000-0000-00000500000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E7" authorId="0" shapeId="0" xr:uid="{00000000-0006-0000-0000-000006000000}">
      <text>
        <r>
          <rPr>
            <b/>
            <sz val="8"/>
            <color indexed="81"/>
            <rFont val="Tahoma"/>
            <family val="2"/>
          </rPr>
          <t>gwuser:</t>
        </r>
        <r>
          <rPr>
            <sz val="8"/>
            <color indexed="81"/>
            <rFont val="Tahoma"/>
            <family val="2"/>
          </rPr>
          <t xml:space="preserve">
A measurement that reflects how well the customer is leveraging the industry standards and best practices already built into the Guidewire product.</t>
        </r>
      </text>
    </comment>
    <comment ref="B8" authorId="1" shapeId="0" xr:uid="{00000000-0006-0000-0000-000007000000}">
      <text>
        <r>
          <rPr>
            <b/>
            <sz val="9"/>
            <color indexed="81"/>
            <rFont val="Tahoma"/>
            <family val="2"/>
          </rPr>
          <t>gw:</t>
        </r>
        <r>
          <rPr>
            <sz val="9"/>
            <color indexed="81"/>
            <rFont val="Tahoma"/>
            <family val="2"/>
          </rPr>
          <t xml:space="preserve">
create validation</t>
        </r>
      </text>
    </comment>
    <comment ref="B9" authorId="0" shapeId="0" xr:uid="{00000000-0006-0000-0000-000008000000}">
      <text>
        <r>
          <rPr>
            <b/>
            <sz val="8"/>
            <color indexed="81"/>
            <rFont val="Tahoma"/>
            <family val="2"/>
          </rPr>
          <t>gwuser:</t>
        </r>
        <r>
          <rPr>
            <sz val="8"/>
            <color indexed="81"/>
            <rFont val="Tahoma"/>
            <family val="2"/>
          </rPr>
          <t xml:space="preserve">
Typically the BA responsible for this user story</t>
        </r>
      </text>
    </comment>
    <comment ref="E9" authorId="0" shapeId="0" xr:uid="{00000000-0006-0000-0000-000009000000}">
      <text>
        <r>
          <rPr>
            <b/>
            <sz val="8"/>
            <color indexed="81"/>
            <rFont val="Tahoma"/>
            <family val="2"/>
          </rPr>
          <t>gwuser:</t>
        </r>
        <r>
          <rPr>
            <sz val="8"/>
            <color indexed="81"/>
            <rFont val="Tahoma"/>
            <family val="2"/>
          </rPr>
          <t xml:space="preserve">
Often the product owner for this user story.</t>
        </r>
      </text>
    </comment>
    <comment ref="B14" authorId="0" shapeId="0" xr:uid="{00000000-0006-0000-0000-00000A000000}">
      <text>
        <r>
          <rPr>
            <b/>
            <sz val="8"/>
            <color indexed="81"/>
            <rFont val="Tahoma"/>
            <family val="2"/>
          </rPr>
          <t>gwuser:</t>
        </r>
        <r>
          <rPr>
            <sz val="8"/>
            <color indexed="81"/>
            <rFont val="Tahoma"/>
            <family val="2"/>
          </rPr>
          <t xml:space="preserve">
Typically the user story description from the Guidewire planner</t>
        </r>
      </text>
    </comment>
    <comment ref="B15" authorId="0" shapeId="0" xr:uid="{00000000-0006-0000-0000-00000B000000}">
      <text>
        <r>
          <rPr>
            <b/>
            <sz val="8"/>
            <color indexed="81"/>
            <rFont val="Tahoma"/>
            <family val="2"/>
          </rPr>
          <t>gwuser:</t>
        </r>
        <r>
          <rPr>
            <sz val="8"/>
            <color indexed="81"/>
            <rFont val="Tahoma"/>
            <family val="2"/>
          </rPr>
          <t xml:space="preserve">
Typically the user story description from the Guidewire planner</t>
        </r>
      </text>
    </comment>
    <comment ref="B16" authorId="0" shapeId="0" xr:uid="{00000000-0006-0000-0000-00000C000000}">
      <text>
        <r>
          <rPr>
            <b/>
            <sz val="8"/>
            <color indexed="81"/>
            <rFont val="Tahoma"/>
            <family val="2"/>
          </rPr>
          <t>gwuser:</t>
        </r>
        <r>
          <rPr>
            <sz val="8"/>
            <color indexed="81"/>
            <rFont val="Tahoma"/>
            <family val="2"/>
          </rPr>
          <t xml:space="preserve">
Typically the user story description from the Guidewire planner</t>
        </r>
      </text>
    </comment>
    <comment ref="B17" authorId="0" shapeId="0" xr:uid="{00000000-0006-0000-0000-00000D000000}">
      <text>
        <r>
          <rPr>
            <b/>
            <sz val="8"/>
            <color indexed="81"/>
            <rFont val="Tahoma"/>
            <family val="2"/>
          </rPr>
          <t>gwuser:</t>
        </r>
        <r>
          <rPr>
            <sz val="8"/>
            <color indexed="81"/>
            <rFont val="Tahoma"/>
            <family val="2"/>
          </rPr>
          <t xml:space="preserve">
Enter the customer's version of user story if it is different than the Standard Description.</t>
        </r>
      </text>
    </comment>
    <comment ref="B18" authorId="0" shapeId="0" xr:uid="{00000000-0006-0000-0000-00000E000000}">
      <text>
        <r>
          <rPr>
            <b/>
            <sz val="8"/>
            <color indexed="81"/>
            <rFont val="Tahoma"/>
            <family val="2"/>
          </rPr>
          <t>gwuser:</t>
        </r>
        <r>
          <rPr>
            <sz val="8"/>
            <color indexed="81"/>
            <rFont val="Tahoma"/>
            <family val="2"/>
          </rPr>
          <t xml:space="preserve">
Enter business benefits for the story, particularly if the story includes an enhancement.</t>
        </r>
      </text>
    </comment>
    <comment ref="B19" authorId="0" shapeId="0" xr:uid="{00000000-0006-0000-0000-00000F000000}">
      <text>
        <r>
          <rPr>
            <b/>
            <sz val="8"/>
            <color indexed="81"/>
            <rFont val="Tahoma"/>
            <family val="2"/>
          </rPr>
          <t>gwuser:</t>
        </r>
        <r>
          <rPr>
            <sz val="8"/>
            <color indexed="81"/>
            <rFont val="Tahoma"/>
            <family val="2"/>
          </rPr>
          <t xml:space="preserve">
Enter a summary of the key changes that will are included in the story.</t>
        </r>
      </text>
    </comment>
    <comment ref="B21" authorId="0" shapeId="0" xr:uid="{00000000-0006-0000-0000-000010000000}">
      <text>
        <r>
          <rPr>
            <b/>
            <sz val="8"/>
            <color indexed="81"/>
            <rFont val="Tahoma"/>
            <family val="2"/>
          </rPr>
          <t>gwuser:</t>
        </r>
        <r>
          <rPr>
            <sz val="8"/>
            <color indexed="81"/>
            <rFont val="Tahoma"/>
            <family val="2"/>
          </rPr>
          <t xml:space="preserve">
List any known pre-conditions for the user story</t>
        </r>
      </text>
    </comment>
    <comment ref="B22" authorId="0" shapeId="0" xr:uid="{00000000-0006-0000-0000-000011000000}">
      <text>
        <r>
          <rPr>
            <b/>
            <sz val="8"/>
            <color indexed="81"/>
            <rFont val="Tahoma"/>
            <family val="2"/>
          </rPr>
          <t>gwuser:</t>
        </r>
        <r>
          <rPr>
            <sz val="8"/>
            <color indexed="81"/>
            <rFont val="Tahoma"/>
            <family val="2"/>
          </rPr>
          <t xml:space="preserve">
List any known gaps in functionality.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gwuser</author>
    <author>gw</author>
    <author>Renee TROUGHTON</author>
    <author>Caroline MARTIN</author>
  </authors>
  <commentList>
    <comment ref="F4" authorId="0" shapeId="0" xr:uid="{00000000-0006-0000-0200-000001000000}">
      <text>
        <r>
          <rPr>
            <b/>
            <sz val="8"/>
            <color indexed="81"/>
            <rFont val="Tahoma"/>
            <family val="2"/>
          </rPr>
          <t>gwuser:</t>
        </r>
        <r>
          <rPr>
            <sz val="8"/>
            <color indexed="81"/>
            <rFont val="Tahoma"/>
            <family val="2"/>
          </rPr>
          <t xml:space="preserve">
This may be a customer ID number for the user story or the Rally user story number.</t>
        </r>
      </text>
    </comment>
    <comment ref="F5" authorId="0" shapeId="0" xr:uid="{00000000-0006-0000-0200-00000200000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F6" authorId="0" shapeId="0" xr:uid="{00000000-0006-0000-0200-00000300000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F7" authorId="0" shapeId="0" xr:uid="{00000000-0006-0000-0200-000004000000}">
      <text>
        <r>
          <rPr>
            <b/>
            <sz val="8"/>
            <color indexed="81"/>
            <rFont val="Tahoma"/>
            <family val="2"/>
          </rPr>
          <t>gwuser:</t>
        </r>
        <r>
          <rPr>
            <sz val="8"/>
            <color indexed="81"/>
            <rFont val="Tahoma"/>
            <family val="2"/>
          </rPr>
          <t xml:space="preserve">
A measurement that reflects how well the customer is leveraging the industry standards and best practices already built into the Guidewire product.</t>
        </r>
      </text>
    </comment>
    <comment ref="F9" authorId="0" shapeId="0" xr:uid="{00000000-0006-0000-0200-000005000000}">
      <text>
        <r>
          <rPr>
            <b/>
            <sz val="8"/>
            <color indexed="81"/>
            <rFont val="Tahoma"/>
            <family val="2"/>
          </rPr>
          <t>gwuser:</t>
        </r>
        <r>
          <rPr>
            <sz val="8"/>
            <color indexed="81"/>
            <rFont val="Tahoma"/>
            <family val="2"/>
          </rPr>
          <t xml:space="preserve">
Often the product owner for this user story.</t>
        </r>
      </text>
    </comment>
    <comment ref="B15" authorId="1" shapeId="0" xr:uid="{00000000-0006-0000-0200-000006000000}">
      <text>
        <r>
          <rPr>
            <b/>
            <sz val="9"/>
            <color indexed="81"/>
            <rFont val="Tahoma"/>
            <family val="2"/>
          </rPr>
          <t xml:space="preserve">gwuser: </t>
        </r>
        <r>
          <rPr>
            <sz val="9"/>
            <color indexed="81"/>
            <rFont val="Tahoma"/>
            <family val="2"/>
          </rPr>
          <t xml:space="preserve">Customer requirement Reference
</t>
        </r>
      </text>
    </comment>
    <comment ref="D15" authorId="0" shapeId="0" xr:uid="{00000000-0006-0000-0200-000007000000}">
      <text>
        <r>
          <rPr>
            <b/>
            <sz val="8"/>
            <color indexed="81"/>
            <rFont val="Tahoma"/>
            <family val="2"/>
          </rPr>
          <t xml:space="preserve">gwuser:
</t>
        </r>
        <r>
          <rPr>
            <sz val="8"/>
            <color indexed="81"/>
            <rFont val="Tahoma"/>
            <family val="2"/>
          </rPr>
          <t xml:space="preserve">OOTB - Product defined field and definition
Modified - OOTB defined field whose properties  are modified 
New - Customer defined field
</t>
        </r>
      </text>
    </comment>
    <comment ref="E15" authorId="0" shapeId="0" xr:uid="{00000000-0006-0000-0200-000008000000}">
      <text>
        <r>
          <rPr>
            <b/>
            <sz val="8"/>
            <color indexed="81"/>
            <rFont val="Tahoma"/>
            <family val="2"/>
          </rPr>
          <t xml:space="preserve">gwuser: 
</t>
        </r>
        <r>
          <rPr>
            <sz val="8"/>
            <color indexed="81"/>
            <rFont val="Tahoma"/>
            <family val="2"/>
          </rPr>
          <t xml:space="preserve">Displaykey path for the label
</t>
        </r>
      </text>
    </comment>
    <comment ref="G15" authorId="0" shapeId="0" xr:uid="{23D6422E-80F7-4142-8365-C5E55F59128C}">
      <text>
        <r>
          <rPr>
            <b/>
            <sz val="8"/>
            <color indexed="81"/>
            <rFont val="Tahoma"/>
            <family val="2"/>
          </rPr>
          <t xml:space="preserve">gwuser:
</t>
        </r>
        <r>
          <rPr>
            <sz val="8"/>
            <color indexed="81"/>
            <rFont val="Tahoma"/>
            <family val="2"/>
          </rPr>
          <t xml:space="preserve">If supporting multiple locales, use this column for locale labels.
</t>
        </r>
      </text>
    </comment>
    <comment ref="H15" authorId="0" shapeId="0" xr:uid="{00000000-0006-0000-0200-00000A000000}">
      <text>
        <r>
          <rPr>
            <b/>
            <sz val="8"/>
            <color indexed="81"/>
            <rFont val="Tahoma"/>
            <family val="2"/>
          </rPr>
          <t xml:space="preserve">gwuser:
</t>
        </r>
        <r>
          <rPr>
            <sz val="8"/>
            <color indexed="81"/>
            <rFont val="Tahoma"/>
            <family val="2"/>
          </rPr>
          <t xml:space="preserve">Reference path for the field
</t>
        </r>
      </text>
    </comment>
    <comment ref="I15" authorId="0" shapeId="0" xr:uid="{00000000-0006-0000-0200-00000B000000}">
      <text>
        <r>
          <rPr>
            <b/>
            <sz val="8"/>
            <color indexed="81"/>
            <rFont val="Tahoma"/>
            <family val="2"/>
          </rPr>
          <t xml:space="preserve">gwuser:
</t>
        </r>
        <r>
          <rPr>
            <sz val="8"/>
            <color indexed="81"/>
            <rFont val="Tahoma"/>
            <family val="2"/>
          </rPr>
          <t>Physical table name where the field is stored</t>
        </r>
        <r>
          <rPr>
            <sz val="9"/>
            <color indexed="81"/>
            <rFont val="Tahoma"/>
            <family val="2"/>
          </rPr>
          <t xml:space="preserve">
</t>
        </r>
      </text>
    </comment>
    <comment ref="K15" authorId="0" shapeId="0" xr:uid="{00000000-0006-0000-0200-00000C000000}">
      <text>
        <r>
          <rPr>
            <b/>
            <sz val="8"/>
            <color indexed="81"/>
            <rFont val="Tahoma"/>
            <family val="2"/>
          </rPr>
          <t>gwuser:</t>
        </r>
        <r>
          <rPr>
            <sz val="8"/>
            <color indexed="81"/>
            <rFont val="Tahoma"/>
            <family val="2"/>
          </rPr>
          <t xml:space="preserve">
Refer to PCF mapping file or data dictionary for values</t>
        </r>
      </text>
    </comment>
    <comment ref="M15" authorId="0" shapeId="0" xr:uid="{00000000-0006-0000-0200-00000D000000}">
      <text>
        <r>
          <rPr>
            <b/>
            <sz val="8"/>
            <color indexed="81"/>
            <rFont val="Tahoma"/>
            <family val="2"/>
          </rPr>
          <t xml:space="preserve">gwuser:
</t>
        </r>
        <r>
          <rPr>
            <sz val="8"/>
            <color indexed="81"/>
            <rFont val="Tahoma"/>
            <family val="2"/>
          </rPr>
          <t>Name of the typelist in case the field is a typekey</t>
        </r>
        <r>
          <rPr>
            <sz val="9"/>
            <color indexed="81"/>
            <rFont val="Tahoma"/>
            <family val="2"/>
          </rPr>
          <t xml:space="preserve">
</t>
        </r>
      </text>
    </comment>
    <comment ref="N15" authorId="2" shapeId="0" xr:uid="{00000000-0006-0000-0200-00000E000000}">
      <text>
        <r>
          <rPr>
            <b/>
            <sz val="8"/>
            <color indexed="81"/>
            <rFont val="Tahoma"/>
            <family val="2"/>
          </rPr>
          <t>gwuser:</t>
        </r>
        <r>
          <rPr>
            <sz val="8"/>
            <color indexed="81"/>
            <rFont val="Tahoma"/>
            <family val="2"/>
          </rPr>
          <t xml:space="preserve">
Yes if display only, No if editable field,
or if dependent upon rules, then specify</t>
        </r>
      </text>
    </comment>
    <comment ref="O15" authorId="3" shapeId="0" xr:uid="{00000000-0006-0000-0200-00000F000000}">
      <text>
        <r>
          <rPr>
            <b/>
            <sz val="8"/>
            <color indexed="81"/>
            <rFont val="Tahoma"/>
            <family val="2"/>
          </rPr>
          <t>gwuser:</t>
        </r>
        <r>
          <rPr>
            <sz val="8"/>
            <color indexed="81"/>
            <rFont val="Tahoma"/>
            <family val="2"/>
          </rPr>
          <t xml:space="preserve">
Yes, No or if dependent upon rules, then specify.</t>
        </r>
      </text>
    </comment>
    <comment ref="P15" authorId="0" shapeId="0" xr:uid="{00000000-0006-0000-0200-000010000000}">
      <text>
        <r>
          <rPr>
            <b/>
            <sz val="8"/>
            <color indexed="81"/>
            <rFont val="Tahoma"/>
            <family val="2"/>
          </rPr>
          <t xml:space="preserve">gwuser:
</t>
        </r>
        <r>
          <rPr>
            <sz val="8"/>
            <color indexed="81"/>
            <rFont val="Tahoma"/>
            <family val="2"/>
          </rPr>
          <t xml:space="preserve">Yes, No or if dependent upon rules, then specify.
</t>
        </r>
      </text>
    </comment>
    <comment ref="Q15" authorId="0" shapeId="0" xr:uid="{00000000-0006-0000-0200-000011000000}">
      <text>
        <r>
          <rPr>
            <b/>
            <sz val="8"/>
            <color indexed="81"/>
            <rFont val="Tahoma"/>
            <family val="2"/>
          </rPr>
          <t>gwuser:</t>
        </r>
        <r>
          <rPr>
            <sz val="8"/>
            <color indexed="81"/>
            <rFont val="Tahoma"/>
            <family val="2"/>
          </rPr>
          <t xml:space="preserve">
Yes, No or if dependent upon rules, then specify.
</t>
        </r>
      </text>
    </comment>
    <comment ref="R15" authorId="3" shapeId="0" xr:uid="{00000000-0006-0000-0200-000012000000}">
      <text>
        <r>
          <rPr>
            <b/>
            <sz val="8"/>
            <color indexed="81"/>
            <rFont val="Tahoma"/>
            <family val="2"/>
          </rPr>
          <t>gwuser:</t>
        </r>
        <r>
          <rPr>
            <sz val="8"/>
            <color indexed="81"/>
            <rFont val="Tahoma"/>
            <family val="2"/>
          </rPr>
          <t xml:space="preserve">
If this is empty, then the default value is blank.</t>
        </r>
      </text>
    </comment>
    <comment ref="U15" authorId="0" shapeId="0" xr:uid="{03D4B578-82E4-4A1C-90C1-762351B35D69}">
      <text>
        <r>
          <rPr>
            <b/>
            <sz val="8"/>
            <color indexed="81"/>
            <rFont val="Tahoma"/>
            <family val="2"/>
          </rPr>
          <t xml:space="preserve">gwuser:
</t>
        </r>
        <r>
          <rPr>
            <sz val="8"/>
            <color indexed="81"/>
            <rFont val="Tahoma"/>
            <family val="2"/>
          </rPr>
          <t xml:space="preserve">If supporting multiple locales, use this column for locale labels.
</t>
        </r>
      </text>
    </comment>
    <comment ref="V15" authorId="0" shapeId="0" xr:uid="{00000000-0006-0000-0200-000013000000}">
      <text>
        <r>
          <rPr>
            <b/>
            <sz val="8"/>
            <color indexed="81"/>
            <rFont val="Tahoma"/>
            <family val="2"/>
          </rPr>
          <t xml:space="preserve">gwuser: 
</t>
        </r>
        <r>
          <rPr>
            <sz val="8"/>
            <color indexed="81"/>
            <rFont val="Tahoma"/>
            <family val="2"/>
          </rPr>
          <t xml:space="preserve">Implementation Release Number. This will help track the versions of the field specifications across releases.
</t>
        </r>
      </text>
    </comment>
    <comment ref="W15" authorId="0" shapeId="0" xr:uid="{00000000-0006-0000-0200-000014000000}">
      <text>
        <r>
          <rPr>
            <b/>
            <sz val="8"/>
            <color indexed="81"/>
            <rFont val="Tahoma"/>
            <family val="2"/>
          </rPr>
          <t xml:space="preserve">gwuser:
</t>
        </r>
        <r>
          <rPr>
            <sz val="8"/>
            <color indexed="81"/>
            <rFont val="Tahoma"/>
            <family val="2"/>
          </rPr>
          <t xml:space="preserve">Line of business (if applicable) for the fields.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F4" authorId="0" shapeId="0" xr:uid="{00000000-0006-0000-0300-000001000000}">
      <text>
        <r>
          <rPr>
            <b/>
            <sz val="8"/>
            <color indexed="81"/>
            <rFont val="Tahoma"/>
            <family val="2"/>
          </rPr>
          <t>gwuser:</t>
        </r>
        <r>
          <rPr>
            <sz val="8"/>
            <color indexed="81"/>
            <rFont val="Tahoma"/>
            <family val="2"/>
          </rPr>
          <t xml:space="preserve">
This may be a customer ID number for the user story or the Rally user story number.</t>
        </r>
      </text>
    </comment>
    <comment ref="F5" authorId="0" shapeId="0" xr:uid="{00000000-0006-0000-0300-00000200000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F6" authorId="0" shapeId="0" xr:uid="{00000000-0006-0000-0300-00000300000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F7" authorId="0" shapeId="0" xr:uid="{00000000-0006-0000-0300-000004000000}">
      <text>
        <r>
          <rPr>
            <b/>
            <sz val="8"/>
            <color indexed="81"/>
            <rFont val="Tahoma"/>
            <family val="2"/>
          </rPr>
          <t>gwuser:</t>
        </r>
        <r>
          <rPr>
            <sz val="8"/>
            <color indexed="81"/>
            <rFont val="Tahoma"/>
            <family val="2"/>
          </rPr>
          <t xml:space="preserve">
A measurement that reflects how well the customer is leveraging the industry standards and best practices already built into the Guidewire product.</t>
        </r>
      </text>
    </comment>
    <comment ref="F9" authorId="0" shapeId="0" xr:uid="{00000000-0006-0000-0300-000005000000}">
      <text>
        <r>
          <rPr>
            <b/>
            <sz val="8"/>
            <color indexed="81"/>
            <rFont val="Tahoma"/>
            <family val="2"/>
          </rPr>
          <t>gwuser:</t>
        </r>
        <r>
          <rPr>
            <sz val="8"/>
            <color indexed="81"/>
            <rFont val="Tahoma"/>
            <family val="2"/>
          </rPr>
          <t xml:space="preserve">
Often the product owner for this user story.</t>
        </r>
      </text>
    </comment>
    <comment ref="B15" authorId="0" shapeId="0" xr:uid="{00000000-0006-0000-0300-000006000000}">
      <text>
        <r>
          <rPr>
            <b/>
            <sz val="8"/>
            <color indexed="81"/>
            <rFont val="Tahoma"/>
            <family val="2"/>
          </rPr>
          <t>gwuser:</t>
        </r>
        <r>
          <rPr>
            <sz val="8"/>
            <color indexed="81"/>
            <rFont val="Tahoma"/>
            <family val="2"/>
          </rPr>
          <t xml:space="preserve">
New - Any customer defined typecodes
Modified - Any OOTB typecodes that have been modified
*** NOTE:  The OOTB typecodes are purposely not mentioned in this tab but can be found in data dictionary.</t>
        </r>
      </text>
    </comment>
    <comment ref="C15" authorId="0" shapeId="0" xr:uid="{00000000-0006-0000-0300-000007000000}">
      <text>
        <r>
          <rPr>
            <b/>
            <sz val="8"/>
            <color indexed="81"/>
            <rFont val="Tahoma"/>
            <family val="2"/>
          </rPr>
          <t>gwuser:</t>
        </r>
        <r>
          <rPr>
            <sz val="8"/>
            <color indexed="81"/>
            <rFont val="Tahoma"/>
            <family val="2"/>
          </rPr>
          <t xml:space="preserve">
New - Any customer defined typecodes
Modified - Any OOTB typecodes that have been modified
*** NOTE:  The OOTB typecodes are purposely not mentioned in this tab but can be found in data dictionary.</t>
        </r>
      </text>
    </comment>
    <comment ref="D15" authorId="0" shapeId="0" xr:uid="{00000000-0006-0000-0300-000008000000}">
      <text>
        <r>
          <rPr>
            <b/>
            <sz val="8"/>
            <color indexed="81"/>
            <rFont val="Tahoma"/>
            <family val="2"/>
          </rPr>
          <t xml:space="preserve">gwuser:
</t>
        </r>
        <r>
          <rPr>
            <sz val="8"/>
            <color indexed="81"/>
            <rFont val="Tahoma"/>
            <family val="2"/>
          </rPr>
          <t xml:space="preserve">Typecode
</t>
        </r>
        <r>
          <rPr>
            <sz val="9"/>
            <color indexed="81"/>
            <rFont val="Tahoma"/>
            <family val="2"/>
          </rPr>
          <t xml:space="preserve">
</t>
        </r>
      </text>
    </comment>
    <comment ref="E15" authorId="0" shapeId="0" xr:uid="{00000000-0006-0000-0300-000009000000}">
      <text>
        <r>
          <rPr>
            <b/>
            <sz val="8"/>
            <color indexed="81"/>
            <rFont val="Tahoma"/>
            <family val="2"/>
          </rPr>
          <t xml:space="preserve">gwuser:
</t>
        </r>
        <r>
          <rPr>
            <sz val="8"/>
            <color indexed="81"/>
            <rFont val="Tahoma"/>
            <family val="2"/>
          </rPr>
          <t xml:space="preserve">Typecode name
</t>
        </r>
      </text>
    </comment>
    <comment ref="F15" authorId="0" shapeId="0" xr:uid="{00000000-0006-0000-0300-00000A000000}">
      <text>
        <r>
          <rPr>
            <b/>
            <sz val="8"/>
            <color indexed="81"/>
            <rFont val="Tahoma"/>
            <family val="2"/>
          </rPr>
          <t>gwuser:</t>
        </r>
        <r>
          <rPr>
            <sz val="8"/>
            <color indexed="81"/>
            <rFont val="Tahoma"/>
            <family val="2"/>
          </rPr>
          <t xml:space="preserve">
If  supporting multiple locales, use this column for locale typecode name.
</t>
        </r>
        <r>
          <rPr>
            <sz val="9"/>
            <color indexed="81"/>
            <rFont val="Tahoma"/>
            <family val="2"/>
          </rPr>
          <t xml:space="preserve">
</t>
        </r>
      </text>
    </comment>
    <comment ref="G15" authorId="0" shapeId="0" xr:uid="{00000000-0006-0000-0300-00000B000000}">
      <text>
        <r>
          <rPr>
            <b/>
            <sz val="8"/>
            <color indexed="81"/>
            <rFont val="Tahoma"/>
            <family val="2"/>
          </rPr>
          <t>gwuser:</t>
        </r>
        <r>
          <rPr>
            <sz val="8"/>
            <color indexed="81"/>
            <rFont val="Tahoma"/>
            <family val="2"/>
          </rPr>
          <t xml:space="preserve">
Typecode Description</t>
        </r>
      </text>
    </comment>
    <comment ref="H15" authorId="0" shapeId="0" xr:uid="{00000000-0006-0000-0300-00000C000000}">
      <text>
        <r>
          <rPr>
            <b/>
            <sz val="8"/>
            <color indexed="81"/>
            <rFont val="Tahoma"/>
            <family val="2"/>
          </rPr>
          <t>gwuser:</t>
        </r>
        <r>
          <rPr>
            <sz val="8"/>
            <color indexed="81"/>
            <rFont val="Tahoma"/>
            <family val="2"/>
          </rPr>
          <t xml:space="preserve">
If  supporting multiple locales, use this column for locale typecode description.</t>
        </r>
        <r>
          <rPr>
            <sz val="9"/>
            <color indexed="81"/>
            <rFont val="Tahoma"/>
            <family val="2"/>
          </rPr>
          <t xml:space="preserve">
</t>
        </r>
      </text>
    </comment>
    <comment ref="I15" authorId="0" shapeId="0" xr:uid="{00000000-0006-0000-0300-00000D000000}">
      <text>
        <r>
          <rPr>
            <b/>
            <sz val="8"/>
            <color indexed="81"/>
            <rFont val="Tahoma"/>
            <family val="2"/>
          </rPr>
          <t xml:space="preserve">gwuser:
</t>
        </r>
        <r>
          <rPr>
            <sz val="8"/>
            <color indexed="81"/>
            <rFont val="Tahoma"/>
            <family val="2"/>
          </rPr>
          <t>Priority of the typecodes</t>
        </r>
        <r>
          <rPr>
            <sz val="9"/>
            <color indexed="81"/>
            <rFont val="Tahoma"/>
            <family val="2"/>
          </rPr>
          <t xml:space="preserve">
</t>
        </r>
      </text>
    </comment>
    <comment ref="J15" authorId="0" shapeId="0" xr:uid="{00000000-0006-0000-0300-00000E000000}">
      <text>
        <r>
          <rPr>
            <b/>
            <sz val="8"/>
            <color indexed="81"/>
            <rFont val="Tahoma"/>
            <family val="2"/>
          </rPr>
          <t xml:space="preserve">gwuser:
</t>
        </r>
        <r>
          <rPr>
            <sz val="8"/>
            <color indexed="81"/>
            <rFont val="Tahoma"/>
            <family val="2"/>
          </rPr>
          <t xml:space="preserve">Yes, No </t>
        </r>
      </text>
    </comment>
    <comment ref="K15" authorId="0" shapeId="0" xr:uid="{00000000-0006-0000-0300-00000F000000}">
      <text>
        <r>
          <rPr>
            <b/>
            <sz val="8"/>
            <color indexed="81"/>
            <rFont val="Tahoma"/>
            <family val="2"/>
          </rPr>
          <t>gwuser:</t>
        </r>
        <r>
          <rPr>
            <sz val="8"/>
            <color indexed="81"/>
            <rFont val="Tahoma"/>
            <family val="2"/>
          </rPr>
          <t xml:space="preserve">
Any conditions associated with the typecode</t>
        </r>
        <r>
          <rPr>
            <sz val="9"/>
            <color indexed="81"/>
            <rFont val="Tahoma"/>
            <family val="2"/>
          </rPr>
          <t xml:space="preserve">
</t>
        </r>
      </text>
    </comment>
    <comment ref="M15" authorId="0" shapeId="0" xr:uid="{00000000-0006-0000-0300-000010000000}">
      <text>
        <r>
          <rPr>
            <b/>
            <sz val="8"/>
            <color indexed="81"/>
            <rFont val="Tahoma"/>
            <family val="2"/>
          </rPr>
          <t xml:space="preserve">gwuser: 
</t>
        </r>
        <r>
          <rPr>
            <sz val="8"/>
            <color indexed="81"/>
            <rFont val="Tahoma"/>
            <family val="2"/>
          </rPr>
          <t>Implementation Release Number. This will help track the versions of the typecodes across releases.</t>
        </r>
      </text>
    </comment>
    <comment ref="N15" authorId="0" shapeId="0" xr:uid="{00000000-0006-0000-0300-000011000000}">
      <text>
        <r>
          <rPr>
            <b/>
            <sz val="8"/>
            <color indexed="81"/>
            <rFont val="Tahoma"/>
            <family val="2"/>
          </rPr>
          <t xml:space="preserve">gwuser:
</t>
        </r>
        <r>
          <rPr>
            <sz val="8"/>
            <color indexed="81"/>
            <rFont val="Tahoma"/>
            <family val="2"/>
          </rPr>
          <t xml:space="preserve">Line of business (if applicable) for the typecodes/typelists.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E15" authorId="0" shapeId="0" xr:uid="{00000000-0006-0000-0400-000001000000}">
      <text>
        <r>
          <rPr>
            <b/>
            <sz val="8"/>
            <color indexed="81"/>
            <rFont val="Tahoma"/>
            <family val="2"/>
          </rPr>
          <t>gwuser:</t>
        </r>
        <r>
          <rPr>
            <sz val="8"/>
            <color indexed="81"/>
            <rFont val="Tahoma"/>
            <family val="2"/>
          </rPr>
          <t xml:space="preserve">
Use this column to note errors and warnings. 
Other validation logic, like underwriting issues that spans various user stories, are often tracked in a separate sheet.</t>
        </r>
      </text>
    </comment>
    <comment ref="H15" authorId="0" shapeId="0" xr:uid="{00000000-0006-0000-0400-000002000000}">
      <text>
        <r>
          <rPr>
            <b/>
            <sz val="8"/>
            <color indexed="81"/>
            <rFont val="Tahoma"/>
            <family val="2"/>
          </rPr>
          <t xml:space="preserve">gwuser: 
</t>
        </r>
        <r>
          <rPr>
            <sz val="8"/>
            <color indexed="81"/>
            <rFont val="Tahoma"/>
            <family val="2"/>
          </rPr>
          <t>Implementation Release Number. This will help track the versions of the rules across releases.</t>
        </r>
      </text>
    </comment>
    <comment ref="I15" authorId="0" shapeId="0" xr:uid="{00000000-0006-0000-0400-000003000000}">
      <text>
        <r>
          <rPr>
            <b/>
            <sz val="8"/>
            <color indexed="81"/>
            <rFont val="Tahoma"/>
            <family val="2"/>
          </rPr>
          <t xml:space="preserve">gwuser:
</t>
        </r>
        <r>
          <rPr>
            <sz val="8"/>
            <color indexed="81"/>
            <rFont val="Tahoma"/>
            <family val="2"/>
          </rPr>
          <t xml:space="preserve">Line of business (if applicable) for the rules
</t>
        </r>
      </text>
    </comment>
    <comment ref="J15" authorId="0" shapeId="0" xr:uid="{00000000-0006-0000-0400-000004000000}">
      <text>
        <r>
          <rPr>
            <b/>
            <sz val="8"/>
            <color indexed="81"/>
            <rFont val="Tahoma"/>
            <family val="2"/>
          </rPr>
          <t xml:space="preserve">gwuser:
</t>
        </r>
        <r>
          <rPr>
            <sz val="8"/>
            <color indexed="81"/>
            <rFont val="Tahoma"/>
            <family val="2"/>
          </rPr>
          <t xml:space="preserve">Customer requirement Reference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B15" authorId="0" shapeId="0" xr:uid="{00000000-0006-0000-0500-000001000000}">
      <text>
        <r>
          <rPr>
            <b/>
            <sz val="8"/>
            <color indexed="81"/>
            <rFont val="Tahoma"/>
            <family val="2"/>
          </rPr>
          <t xml:space="preserve">gwuser:
</t>
        </r>
        <r>
          <rPr>
            <sz val="8"/>
            <color indexed="81"/>
            <rFont val="Tahoma"/>
            <family val="2"/>
          </rPr>
          <t xml:space="preserve">Serial Number of action item
</t>
        </r>
      </text>
    </comment>
    <comment ref="C15" authorId="0" shapeId="0" xr:uid="{00000000-0006-0000-0500-000002000000}">
      <text>
        <r>
          <rPr>
            <b/>
            <sz val="8"/>
            <color indexed="81"/>
            <rFont val="Tahoma"/>
            <family val="2"/>
          </rPr>
          <t xml:space="preserve">gwuser:
</t>
        </r>
        <r>
          <rPr>
            <sz val="8"/>
            <color indexed="81"/>
            <rFont val="Tahoma"/>
            <family val="2"/>
          </rPr>
          <t xml:space="preserve">It is a good practice to use Rally to note down action items. This tab should be used during inception to list any action items discussed during that timeframe.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C18" authorId="0" shapeId="0" xr:uid="{00000000-0006-0000-0600-000001000000}">
      <text>
        <r>
          <rPr>
            <b/>
            <sz val="8"/>
            <color indexed="81"/>
            <rFont val="Tahoma"/>
            <family val="2"/>
          </rPr>
          <t>gwuser:</t>
        </r>
        <r>
          <rPr>
            <sz val="8"/>
            <color indexed="81"/>
            <rFont val="Tahoma"/>
            <family val="2"/>
          </rPr>
          <t xml:space="preserve">
Criteria that the user will utilize to confirm that the story is completed</t>
        </r>
      </text>
    </comment>
    <comment ref="D18" authorId="0" shapeId="0" xr:uid="{00000000-0006-0000-0600-000002000000}">
      <text>
        <r>
          <rPr>
            <b/>
            <sz val="8"/>
            <color indexed="81"/>
            <rFont val="Tahoma"/>
            <family val="2"/>
          </rPr>
          <t>gwuser:</t>
        </r>
        <r>
          <rPr>
            <sz val="8"/>
            <color indexed="81"/>
            <rFont val="Tahoma"/>
            <family val="2"/>
          </rPr>
          <t xml:space="preserve">
Enter User Story number or defect number in which the acceptance is met. Do not enter BA Only user story number. </t>
        </r>
      </text>
    </comment>
    <comment ref="F18" authorId="0" shapeId="0" xr:uid="{00000000-0006-0000-0600-000003000000}">
      <text>
        <r>
          <rPr>
            <b/>
            <sz val="8"/>
            <color indexed="81"/>
            <rFont val="Tahoma"/>
            <family val="2"/>
          </rPr>
          <t>gwuser:</t>
        </r>
        <r>
          <rPr>
            <sz val="8"/>
            <color indexed="81"/>
            <rFont val="Tahoma"/>
            <family val="2"/>
          </rPr>
          <t xml:space="preserve">
Implementation Release Number. This will help track the versions of the acceptance criteria across releases.</t>
        </r>
      </text>
    </comment>
    <comment ref="G18" authorId="0" shapeId="0" xr:uid="{00000000-0006-0000-0600-000004000000}">
      <text>
        <r>
          <rPr>
            <b/>
            <sz val="8"/>
            <color indexed="81"/>
            <rFont val="Tahoma"/>
            <family val="2"/>
          </rPr>
          <t>gwuser:</t>
        </r>
        <r>
          <rPr>
            <sz val="8"/>
            <color indexed="81"/>
            <rFont val="Tahoma"/>
            <family val="2"/>
          </rPr>
          <t xml:space="preserve">
Line of business (if applicable) to the acceptance criteria</t>
        </r>
      </text>
    </comment>
    <comment ref="F38" authorId="0" shapeId="0" xr:uid="{00000000-0006-0000-0600-000005000000}">
      <text>
        <r>
          <rPr>
            <b/>
            <sz val="8"/>
            <color indexed="81"/>
            <rFont val="Tahoma"/>
            <family val="2"/>
          </rPr>
          <t>gwuser:</t>
        </r>
        <r>
          <rPr>
            <sz val="8"/>
            <color indexed="81"/>
            <rFont val="Tahoma"/>
            <family val="2"/>
          </rPr>
          <t xml:space="preserve">
Link or reference for the document.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B15" authorId="0" shapeId="0" xr:uid="{00000000-0006-0000-0800-000001000000}">
      <text>
        <r>
          <rPr>
            <b/>
            <sz val="8"/>
            <color indexed="81"/>
            <rFont val="Tahoma"/>
            <family val="2"/>
          </rPr>
          <t xml:space="preserve">gwuser:
</t>
        </r>
        <r>
          <rPr>
            <sz val="8"/>
            <color indexed="81"/>
            <rFont val="Tahoma"/>
            <family val="2"/>
          </rPr>
          <t xml:space="preserve">Customer requirement Reference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B2" authorId="0" shapeId="0" xr:uid="{00000000-0006-0000-0900-000001000000}">
      <text>
        <r>
          <rPr>
            <b/>
            <sz val="8"/>
            <color indexed="81"/>
            <rFont val="Tahoma"/>
            <family val="2"/>
          </rPr>
          <t>gwuser:</t>
        </r>
        <r>
          <rPr>
            <sz val="8"/>
            <color indexed="81"/>
            <rFont val="Tahoma"/>
            <family val="2"/>
          </rPr>
          <t xml:space="preserve">
Few projects will use this tab, which is why it is hidden.  It is more efficient to use the planner to estimate a story and then track edits in Rally as needed.</t>
        </r>
      </text>
    </comment>
  </commentList>
</comments>
</file>

<file path=xl/sharedStrings.xml><?xml version="1.0" encoding="utf-8"?>
<sst xmlns="http://schemas.openxmlformats.org/spreadsheetml/2006/main" count="1717" uniqueCount="827">
  <si>
    <t>User Story Card - Document Control</t>
  </si>
  <si>
    <t xml:space="preserve">    Track general user story information and change control details</t>
  </si>
  <si>
    <t>Product</t>
  </si>
  <si>
    <t>PC</t>
  </si>
  <si>
    <t>Story Card #</t>
  </si>
  <si>
    <t>US444</t>
  </si>
  <si>
    <t>Story Card Name</t>
  </si>
  <si>
    <t>Policy Info</t>
  </si>
  <si>
    <t xml:space="preserve">Status </t>
  </si>
  <si>
    <t>Not Started</t>
  </si>
  <si>
    <t>Theme</t>
  </si>
  <si>
    <t>QuoteApplication</t>
  </si>
  <si>
    <t>GW-ID</t>
  </si>
  <si>
    <t>10900-GW.2</t>
  </si>
  <si>
    <t>Gap Business Value</t>
  </si>
  <si>
    <t>3 - Significant Value</t>
  </si>
  <si>
    <t>Product Alignment</t>
  </si>
  <si>
    <t>4 - Full Product Alignment</t>
  </si>
  <si>
    <t>Story Type</t>
  </si>
  <si>
    <t>Project</t>
  </si>
  <si>
    <t>Risk Rating</t>
  </si>
  <si>
    <t>1. Critical</t>
  </si>
  <si>
    <t>User Story Owner</t>
  </si>
  <si>
    <t>SMEs</t>
  </si>
  <si>
    <t xml:space="preserve"> </t>
  </si>
  <si>
    <t>Work Bucket Type</t>
  </si>
  <si>
    <t>FUN_Standard</t>
  </si>
  <si>
    <t>Base Estimate (Points)</t>
  </si>
  <si>
    <t>Business Process Flow Links</t>
  </si>
  <si>
    <t>Customer Estimate (Points)</t>
  </si>
  <si>
    <t>Standard Description</t>
  </si>
  <si>
    <t xml:space="preserve">As a PolicyCenter user with the role of Agent, CSR, Underwriter, or Manager
I want to be able to enter and maintain policy information including name insured, additional named insured, policy term and underwriting company information. </t>
  </si>
  <si>
    <t>Base Estimate Assumptions</t>
  </si>
  <si>
    <t>The policy info screen is assumed to be common across all LOB's so has been removed from the LOB specific stories and put  into common. If you have LOB specific requirements, these could be added as new gap stories but best practice is to define a single policy info screen. The estimate includes validation rules for effective / written dates - backdating and forward dating. Any complex producer code and UW assignment is out of scope. Logic that varies across multiple LOB's is out of scope. The estimate assumes minimal UI changes on the policy info screen and additional / named insured screens including simple UI logic and validation rules. Estimate includes2 to 3 new UI fields 1 of which is a typelist. Complex workflow changes should be defined in a separate gap story. Does not include prefill functionality. 
The base estimate does not make provision for UW Rules (Issues/Validations).  UW Rule work is handled in the UW Rule Theme Stories.</t>
  </si>
  <si>
    <t>Customer Estimate Assumptions</t>
  </si>
  <si>
    <t>Customer Description</t>
  </si>
  <si>
    <t>Business Value of  Modifications to Base Product</t>
  </si>
  <si>
    <t>Change Summary</t>
  </si>
  <si>
    <t>Pre-Conditions</t>
  </si>
  <si>
    <t>None</t>
  </si>
  <si>
    <t>Known Gaps</t>
  </si>
  <si>
    <t>Document Control - Amendment History</t>
  </si>
  <si>
    <t>Version Number</t>
  </si>
  <si>
    <t>Description of Change</t>
  </si>
  <si>
    <t>Person Making Change</t>
  </si>
  <si>
    <t xml:space="preserve">Date </t>
  </si>
  <si>
    <t xml:space="preserve">Wave or Release </t>
  </si>
  <si>
    <t>LOB</t>
  </si>
  <si>
    <t>Base Configuration</t>
  </si>
  <si>
    <t>N/A</t>
  </si>
  <si>
    <t>User Story Card - UI Mockup</t>
  </si>
  <si>
    <t>Create screen shots of the proposed user interface (UI) for this story</t>
  </si>
  <si>
    <t>All Screen annotations must include the appropriate Requirement Number</t>
  </si>
  <si>
    <t>01 Policy Info Landing Page 1 : SubmissionWizard.pcf</t>
  </si>
  <si>
    <t>01 Policy Info Landing Page 2 : SubmissionWizard.pcf</t>
  </si>
  <si>
    <t>02 Policy Info Details  1 : SubmissionWizard.pcf</t>
  </si>
  <si>
    <t>02 Policy Info Details  2 : SubmissionWizard.pcf</t>
  </si>
  <si>
    <t>User Story Card - UI Fields</t>
  </si>
  <si>
    <t xml:space="preserve">    Track the UI fields and related details for the screens included in the user story</t>
  </si>
  <si>
    <t>Functional Details</t>
  </si>
  <si>
    <t>Requirement Number</t>
  </si>
  <si>
    <t>Name of DV or LV</t>
  </si>
  <si>
    <t>Base Product, New, Modified</t>
  </si>
  <si>
    <t>Display Key</t>
  </si>
  <si>
    <t>Label</t>
  </si>
  <si>
    <t>Label (Locatlized)</t>
  </si>
  <si>
    <t>Path</t>
  </si>
  <si>
    <t>Table</t>
  </si>
  <si>
    <t>Field Name</t>
  </si>
  <si>
    <t>Field Type</t>
  </si>
  <si>
    <t>Field Length</t>
  </si>
  <si>
    <t>Typelist</t>
  </si>
  <si>
    <t>Editable</t>
  </si>
  <si>
    <t>Mandatory Field</t>
  </si>
  <si>
    <t>Visible</t>
  </si>
  <si>
    <t>Available</t>
  </si>
  <si>
    <t>Default Value</t>
  </si>
  <si>
    <t>Permissions</t>
  </si>
  <si>
    <t>Notes, Conditions, Dependencies 
(Reset, Display, Validation, Error)</t>
  </si>
  <si>
    <t>Label (Locatlized)2</t>
  </si>
  <si>
    <t>Wave or Release</t>
  </si>
  <si>
    <t>SubmissionWizard.pcf</t>
  </si>
  <si>
    <t>SubmissionWizard_PolicyInfoDV</t>
  </si>
  <si>
    <t>OOTB</t>
  </si>
  <si>
    <t>Web.SubmissionWizard.DateQuoteNeeded</t>
  </si>
  <si>
    <t>Date Quote Needed</t>
  </si>
  <si>
    <t>submission.DateQuoteNeeded</t>
  </si>
  <si>
    <t>pc_job</t>
  </si>
  <si>
    <t>DateQuoteNeeded</t>
  </si>
  <si>
    <t>datetime</t>
  </si>
  <si>
    <t>Personal Auto</t>
  </si>
  <si>
    <t>Web.PolicyPeriod.EstimatedPremium</t>
  </si>
  <si>
    <t>Estimated Premium</t>
  </si>
  <si>
    <t>policyPeriod.EstimatedPremium</t>
  </si>
  <si>
    <t>pc_policyperiod</t>
  </si>
  <si>
    <t>EstimatedPremium</t>
  </si>
  <si>
    <t>MonetaryAmount</t>
  </si>
  <si>
    <t>policyPeriod.Policy.Product.ProductType == TC_COMMERCIAL</t>
  </si>
  <si>
    <t>policyPeriod.UWCompany</t>
  </si>
  <si>
    <t>UWCompany</t>
  </si>
  <si>
    <t>Foreign Key</t>
  </si>
  <si>
    <t>perm.System.multicompquote</t>
  </si>
  <si>
    <t>displaykey.Web.Policy.UWCompanies.AutoSelect</t>
  </si>
  <si>
    <t>not perm.System.multicompquote</t>
  </si>
  <si>
    <t>AccountInfoInputSet</t>
  </si>
  <si>
    <t>Web.Policy.Account.PrimaryInsured</t>
  </si>
  <si>
    <t>Primary Named Insured</t>
  </si>
  <si>
    <t>not openForEdit</t>
  </si>
  <si>
    <t>displaykey.Web.Policy.Account.PrimaryInsured.ChangeTo</t>
  </si>
  <si>
    <t>openForEdit</t>
  </si>
  <si>
    <t>Web.Policy.Account.Applicant.Name</t>
  </si>
  <si>
    <t>Name</t>
  </si>
  <si>
    <t>primaryNamedInsured.DisplayName</t>
  </si>
  <si>
    <t>Web.Policy.Address</t>
  </si>
  <si>
    <t>Policy Address</t>
  </si>
  <si>
    <t>Web.SubmissionWizard.NamedInsured.IndustryCode</t>
  </si>
  <si>
    <t>Industry Code</t>
  </si>
  <si>
    <t>primaryNamedInsured.IndustryCode</t>
  </si>
  <si>
    <t>primaryNamedInsured.Branch.HasWorkersComp</t>
  </si>
  <si>
    <t>primaryNamedInsured.Branch.Policy.Product.isContactTypeSuitableForProductAccountType(Company)</t>
  </si>
  <si>
    <t>Web.Policy.Account.WC.AssignedRisk</t>
  </si>
  <si>
    <t>Assigned Risk?</t>
  </si>
  <si>
    <t>period.AssignedRisk</t>
  </si>
  <si>
    <t>AssignedRisk</t>
  </si>
  <si>
    <t>bit</t>
  </si>
  <si>
    <t>period.HasWorkersComp</t>
  </si>
  <si>
    <t>Web.Policy.Account.WC.YearBusinessStarted</t>
  </si>
  <si>
    <t>Year Business Started</t>
  </si>
  <si>
    <t>period.Policy.Account.YearBusinessStarted</t>
  </si>
  <si>
    <t>pc_account</t>
  </si>
  <si>
    <t>YearBusinessStarted</t>
  </si>
  <si>
    <t>year</t>
  </si>
  <si>
    <t>period.Policy.Account.Editable</t>
  </si>
  <si>
    <t>period.Policy.Product.Commercial</t>
  </si>
  <si>
    <t>Web.Policy.Account.WC.BusOps</t>
  </si>
  <si>
    <t>Description of business and operations</t>
  </si>
  <si>
    <t>period.Policy.Account.BusOpsDesc</t>
  </si>
  <si>
    <t>BusOpsDesc</t>
  </si>
  <si>
    <t>varchar</t>
  </si>
  <si>
    <t>Web.Policy.Account.OrganizationType</t>
  </si>
  <si>
    <t>Organization Type</t>
  </si>
  <si>
    <t>period.Policy.Account.AccountOrgType</t>
  </si>
  <si>
    <t>AccountOrgType</t>
  </si>
  <si>
    <t>Type Key</t>
  </si>
  <si>
    <t>period.Policy.Product.isContactTypeSuitableForProductAccountType(Company)</t>
  </si>
  <si>
    <t>Web.Policy.Account.OrganizationTypeOtherDescription</t>
  </si>
  <si>
    <t>Description</t>
  </si>
  <si>
    <t>period.Policy.Account.OtherOrgTypeDescription</t>
  </si>
  <si>
    <t>OtherOrgTypeDescription</t>
  </si>
  <si>
    <t>period.Policy.Account.AccountOrgType == TC_OTHER</t>
  </si>
  <si>
    <t>GlobalPhoneInputSet</t>
  </si>
  <si>
    <t>DisplayKey.get(""Web.ContactDetail.Phone.MultiField.RegionCode"", phoneOwner.WidgetLabel)</t>
  </si>
  <si>
    <t>null: Region Code</t>
  </si>
  <si>
    <t>phoneOwner.PhoneFields.CountryCode</t>
  </si>
  <si>
    <t>phoneOwner.isEditable(gw.api.phone.PhoneOwnerFieldId.COUNTRY_CODE)</t>
  </si>
  <si>
    <t>phoneOwner.isRegionCodeRequired() || phoneOwner.PhoneFields.NationalSubscriberNumber != null</t>
  </si>
  <si>
    <t>isVisible(phoneOwner, gw.api.phone.PhoneOwnerFieldId.COUNTRY_CODE)</t>
  </si>
  <si>
    <t>phoneOwner.getPhoneLabel(singleInput)</t>
  </si>
  <si>
    <t>&lt;unknown&gt;</t>
  </si>
  <si>
    <t>phoneOwner.PhoneFields.NationalSubscriberNumber</t>
  </si>
  <si>
    <t>phoneOwner.isEditable(gw.api.phone.PhoneOwnerFieldId.NATIONAL_SUBSCRIBER_NUMBER)</t>
  </si>
  <si>
    <t>phoneOwner.isRequired(gw.api.phone.PhoneOwnerFieldId.NATIONAL_SUBSCRIBER_NUMBER)</t>
  </si>
  <si>
    <t>isVisible(phoneOwner, gw.api.phone.PhoneOwnerFieldId.NATIONAL_SUBSCRIBER_NUMBER)</t>
  </si>
  <si>
    <t>DisplayKey.get(""Web.ContactDetail.Phone.MultiField.Extension"", phoneOwner.WidgetLabel)</t>
  </si>
  <si>
    <t>null: Extension</t>
  </si>
  <si>
    <t>phoneOwner.PhoneFields.Extension</t>
  </si>
  <si>
    <t>isVisible(phoneOwner, gw.api.phone.PhoneOwnerFieldId.EXTENSION)</t>
  </si>
  <si>
    <t>phoneOwner.WidgetLabel</t>
  </si>
  <si>
    <t>phoneOwner.format()</t>
  </si>
  <si>
    <t>isVisible(phoneOwner, gw.api.phone.PhoneOwnerFieldId.PHONE_DISPLAY)</t>
  </si>
  <si>
    <t>PolicyAddressDisplayInputSet</t>
  </si>
  <si>
    <t>Web.ContactDetail.AddressDetail.AddressType</t>
  </si>
  <si>
    <t>Address Type</t>
  </si>
  <si>
    <t>period.PolicyAddress.AddressType</t>
  </si>
  <si>
    <t>Web.ContactDetail.AddressDetail.Description</t>
  </si>
  <si>
    <t>Address Description</t>
  </si>
  <si>
    <t>period.PolicyAddress.Description</t>
  </si>
  <si>
    <t>GlobalAddressInputSet.default</t>
  </si>
  <si>
    <t>addressOwner.AddressNameLabel</t>
  </si>
  <si>
    <t>new gw.api.address.AddressFormatter().format(addressOwner.AddressDelegate, ""\n"")</t>
  </si>
  <si>
    <t>addressOwner.ShowAddressSummary</t>
  </si>
  <si>
    <t>Web.AddressBook.AddressInputSet.Country</t>
  </si>
  <si>
    <t>Country</t>
  </si>
  <si>
    <t>addressOwner.SelectedCountry</t>
  </si>
  <si>
    <t>addressOwner.isVisible(gw.api.address.AddressOwnerFieldId.COUNTRY)</t>
  </si>
  <si>
    <t>addressOwner.isAvailable(gw.api.address.AddressOwnerFieldId.COUNTRY)</t>
  </si>
  <si>
    <t>addressOwner.AddressLine1Label</t>
  </si>
  <si>
    <t>addressOwner.AddressDelegate.AddressLine1</t>
  </si>
  <si>
    <t>addressOwner.isVisible(gw.api.address.AddressOwnerFieldId.ADDRESSLINE1)</t>
  </si>
  <si>
    <t>addressOwner.isAvailable(gw.api.address.AddressOwnerFieldId.ADDRESSLINE1)</t>
  </si>
  <si>
    <t>Web.AddressBook.AddressInputSet.Address2</t>
  </si>
  <si>
    <t>Address 2</t>
  </si>
  <si>
    <t>addressOwner.AddressDelegate.AddressLine2</t>
  </si>
  <si>
    <t>addressOwner.isVisible(gw.api.address.AddressOwnerFieldId.ADDRESSLINE2)</t>
  </si>
  <si>
    <t>addressOwner.isAvailable(gw.api.address.AddressOwnerFieldId.ADDRESSLINE2)</t>
  </si>
  <si>
    <t>Web.AddressBook.AddressInputSet.Address3</t>
  </si>
  <si>
    <t>Address 3</t>
  </si>
  <si>
    <t>addressOwner.AddressDelegate.AddressLine3</t>
  </si>
  <si>
    <t>addressOwner.isVisible(gw.api.address.AddressOwnerFieldId.ADDRESSLINE3)</t>
  </si>
  <si>
    <t>addressOwner.isAvailable(gw.api.address.AddressOwnerFieldId.ADDRESSLINE3)</t>
  </si>
  <si>
    <t>gw.api.address.AddressCountrySettings.getSettings(addressOwner.SelectedCountry).CityLabel</t>
  </si>
  <si>
    <t>City</t>
  </si>
  <si>
    <t>addressOwner.AddressDelegate.City</t>
  </si>
  <si>
    <t>addressOwner.isVisible(gw.api.address.AddressOwnerFieldId.CITY)</t>
  </si>
  <si>
    <t>Web.AddressBook.AddressInputSet.County</t>
  </si>
  <si>
    <t>County</t>
  </si>
  <si>
    <t>addressOwner.AddressDelegate.County</t>
  </si>
  <si>
    <t>addressOwner.isVisible(gw.api.address.AddressOwnerFieldId.COUNTY)</t>
  </si>
  <si>
    <t>addressOwner.isAvailable(gw.api.address.AddressOwnerFieldId.COUNTY)</t>
  </si>
  <si>
    <t>gw.api.address.AddressCountrySettings.getSettings(addressOwner.SelectedCountry).StateLabel</t>
  </si>
  <si>
    <t>State</t>
  </si>
  <si>
    <t>addressOwner.AddressDelegate.State</t>
  </si>
  <si>
    <t>addressOwner.isVisible(gw.api.address.AddressOwnerFieldId.STATE)</t>
  </si>
  <si>
    <t>addressOwner.isAvailable(gw.api.address.AddressOwnerFieldId.STATE)</t>
  </si>
  <si>
    <t>gw.api.address.AddressCountrySettings.getSettings(addressOwner.SelectedCountry).PostalCodeLabel</t>
  </si>
  <si>
    <t>ZIP Code</t>
  </si>
  <si>
    <t>addressOwner.AddressDelegate.PostalCode</t>
  </si>
  <si>
    <t>addressOwner.isVisible(gw.api.address.AddressOwnerFieldId.POSTALCODE)</t>
  </si>
  <si>
    <t>PolicyOfficialIDInputSet.Person</t>
  </si>
  <si>
    <t>Web.SubmissionWizard.NamedInsured.SSN</t>
  </si>
  <si>
    <t>SSN</t>
  </si>
  <si>
    <t>namedInsured.AccountContactRole.AccountContact.Contact.SSNOfficialID</t>
  </si>
  <si>
    <t>namedInsured.Branch.HasWorkersComp</t>
  </si>
  <si>
    <t>SecondaryNamedInsuredInputSet</t>
  </si>
  <si>
    <t>Web.Policy.Account.SecondaryInsured</t>
  </si>
  <si>
    <t>Secondary Named Insured</t>
  </si>
  <si>
    <t>SecondaryNamedInsuredDisplayName</t>
  </si>
  <si>
    <t>period.Active</t>
  </si>
  <si>
    <t>AdditionalNamedInsuredInputSet</t>
  </si>
  <si>
    <t>Java.ListView.ViewDetail</t>
  </si>
  <si>
    <t>Show Details</t>
  </si>
  <si>
    <t>Web.Policy.NamedInsured.NameOnly</t>
  </si>
  <si>
    <t>additionalNamedInsured</t>
  </si>
  <si>
    <t>Web.SubmissionWizard.NamedInsured.Relationship</t>
  </si>
  <si>
    <t>Relationship to Primary Named Insured</t>
  </si>
  <si>
    <t>additionalNamedInsured.Relationship</t>
  </si>
  <si>
    <t>pc_policycontactrole</t>
  </si>
  <si>
    <t>Relationship</t>
  </si>
  <si>
    <t>mediumtext</t>
  </si>
  <si>
    <t>(additionalNamedInsured.AccountContactRole as NamedInsured).IndustryCode</t>
  </si>
  <si>
    <t>pc_accountcontactrole</t>
  </si>
  <si>
    <t>IndustryCode</t>
  </si>
  <si>
    <t>additionalNamedInsured.AccountContactRole.AccountContact.Company</t>
  </si>
  <si>
    <t>PolicyInfoInputSet</t>
  </si>
  <si>
    <t>Web.SubmissionWizard.PolicyInfo.TermType</t>
  </si>
  <si>
    <t>Term Type</t>
  </si>
  <si>
    <t>termType</t>
  </si>
  <si>
    <t>policyPeriod.CanUpdatePeriodDates</t>
  </si>
  <si>
    <t>Web.SubmissionWizard.PolicyInfo.TermNumber</t>
  </si>
  <si>
    <t>Term Number</t>
  </si>
  <si>
    <t>policyPeriod.TermNumber</t>
  </si>
  <si>
    <t>TermNumber</t>
  </si>
  <si>
    <t>integer</t>
  </si>
  <si>
    <t>Web.SubmissionWizard.PolicyInfo.EffectiveDate</t>
  </si>
  <si>
    <t>Effective Date</t>
  </si>
  <si>
    <t>effectiveDate</t>
  </si>
  <si>
    <t>!(policyPeriod.Job typeis PolicyChange) and policyPeriod.CanUpdatePeriodDates</t>
  </si>
  <si>
    <t>Web.SubmissionWizard.PolicyInfo.ExpirationDate</t>
  </si>
  <si>
    <t>Expiration Date</t>
  </si>
  <si>
    <t>policyPeriod.PeriodEnd</t>
  </si>
  <si>
    <t>PeriodEnd</t>
  </si>
  <si>
    <t>gw.pcf.job.PolicyInfoHelper.isExpirationDateEditable(policyPeriod, termType)</t>
  </si>
  <si>
    <t>Web.SubmissionWizard.PolicyInfo.WrittenDate</t>
  </si>
  <si>
    <t>Written Date</t>
  </si>
  <si>
    <t>policyPeriod.WrittenDate</t>
  </si>
  <si>
    <t>WrittenDate</t>
  </si>
  <si>
    <t>dateonly</t>
  </si>
  <si>
    <t>perm.System.editwrittendate</t>
  </si>
  <si>
    <t>showWrittenDate</t>
  </si>
  <si>
    <t>Web.SubmissionWizard.PolicyInfo.RateAsOfDate</t>
  </si>
  <si>
    <t>Rate as of Date</t>
  </si>
  <si>
    <t>policyPeriod.RateAsOfDate</t>
  </si>
  <si>
    <t>RateAsOfDate</t>
  </si>
  <si>
    <t>perm.System.editrateasofdate and not(policyPeriod.JobProcess typeis gw.job.NewTermProcess)</t>
  </si>
  <si>
    <t>not(policyPeriod.JobProcess typeis gw.job.NewTermProcess)</t>
  </si>
  <si>
    <t>Web.SubmissionWizard.PolicyInfo.BaseState</t>
  </si>
  <si>
    <t>Base State</t>
  </si>
  <si>
    <t>policyPeriod.BaseState</t>
  </si>
  <si>
    <t>BaseState</t>
  </si>
  <si>
    <t>Jurisdiction</t>
  </si>
  <si>
    <t>policyPeriod.Lines.hasMatch(\ line -&gt; line.BaseStateRequired)</t>
  </si>
  <si>
    <t>gw.web.policy.PolicyInfoUIHelper.getBaseStateVisibility(policyPeriod)</t>
  </si>
  <si>
    <t>Web.EditAccount.PrimaryLanguage</t>
  </si>
  <si>
    <t>Preferred Language</t>
  </si>
  <si>
    <t>policyPeriod.Policy.PrimaryLanguage</t>
  </si>
  <si>
    <t>pc_policy</t>
  </si>
  <si>
    <t>PrimaryLanguage</t>
  </si>
  <si>
    <t>LanguageType</t>
  </si>
  <si>
    <t>gw.api.util.LocaleUtil.getAllLanguages().size() &gt; 1 and policyPeriod.Reinstatement == null</t>
  </si>
  <si>
    <t>Web.PolicyFile.Summary.RewrittenSourcePolicy</t>
  </si>
  <si>
    <t>Source Policy</t>
  </si>
  <si>
    <t>DisplayKey.get(""Web.PolicyFile.Summary.PolicyNumOnAccount"", rewriteSourcePolicy.LatestBoundPeriod.PolicyNumber, rewriteSourcePolicy.Account.AccountNumber)</t>
  </si>
  <si>
    <t>rewriteSourcePolicy != null and showRewriteLinks</t>
  </si>
  <si>
    <t>Web.PolicyFile.Summary.DividedSourcePolicy</t>
  </si>
  <si>
    <t>Split Source Policy</t>
  </si>
  <si>
    <t>DisplayKey.get(""Web.PolicyFile.Summary.PolicyNumOnAccount"", dividedSourcePolicy.LatestBoundPeriod.PolicyNumberDisplayString, dividedSourcePolicy.Account.AccountNumber)</t>
  </si>
  <si>
    <t>dividedSourcePolicy != null and showSplitSource</t>
  </si>
  <si>
    <t>Web.Admin.AffinityGroup.Name</t>
  </si>
  <si>
    <t>policyPeriod.PolicyTerm.AffinityGroup</t>
  </si>
  <si>
    <t>pc_policyterm</t>
  </si>
  <si>
    <t>AffinityGroup</t>
  </si>
  <si>
    <t>PolicyInfoProducerOfRecordInputSet</t>
  </si>
  <si>
    <t>Web.ProducerSelection.ProducerOrg</t>
  </si>
  <si>
    <t>Organization</t>
  </si>
  <si>
    <t>producer</t>
  </si>
  <si>
    <t>gw.api.web.producer.ProducerUtil.canEditOrganization()</t>
  </si>
  <si>
    <t>Web.ProducerSelection.ProducerCode</t>
  </si>
  <si>
    <t>Producer Code</t>
  </si>
  <si>
    <t>policyPeriod.EffectiveDatedFields.ProducerCode</t>
  </si>
  <si>
    <t>pc_effectivedatedfields</t>
  </si>
  <si>
    <t>ProducerCode</t>
  </si>
  <si>
    <t>PreferredCurrencyInputSet</t>
  </si>
  <si>
    <t>Web.JobWizard.PreferredCurrency.Coverage</t>
  </si>
  <si>
    <t>Coverage</t>
  </si>
  <si>
    <t>policyPeriod.PreferredCoverageCurrency</t>
  </si>
  <si>
    <t>PreferredCoverageCurrency</t>
  </si>
  <si>
    <t>Currency</t>
  </si>
  <si>
    <t>policyPeriod.Job.isNewTerm()</t>
  </si>
  <si>
    <t>gw.api.util.CurrencyUtil.isMultiCurrencyMode()</t>
  </si>
  <si>
    <t>Web.JobWizard.PreferredCurrency.Settlement</t>
  </si>
  <si>
    <t>Settlement</t>
  </si>
  <si>
    <t>policyPeriod.PreferredSettlementCurrency</t>
  </si>
  <si>
    <t>PreferredSettlementCurrency</t>
  </si>
  <si>
    <t>MultiQuoteAcceleratedMenuActions</t>
  </si>
  <si>
    <t>ArgValue</t>
  </si>
  <si>
    <t>job.hasMultiplePeriods() &amp;&amp; job.SelectedVersion.Status != PolicyPeriodStatus.TC_BOUND</t>
  </si>
  <si>
    <t>User Story Card - Typelists</t>
  </si>
  <si>
    <t xml:space="preserve">    Track any new typelists and the associated typecodes included in the user story</t>
  </si>
  <si>
    <t>Name of Typelist</t>
  </si>
  <si>
    <t>New, Modified</t>
  </si>
  <si>
    <t>Code</t>
  </si>
  <si>
    <t>Typecode Name</t>
  </si>
  <si>
    <t>Typecode Name  (Locale)</t>
  </si>
  <si>
    <t>Typecode Description</t>
  </si>
  <si>
    <t>Typecode Description 
(Locale)</t>
  </si>
  <si>
    <t>Priority</t>
  </si>
  <si>
    <t>Retired</t>
  </si>
  <si>
    <t>Conditions</t>
  </si>
  <si>
    <t>Column1</t>
  </si>
  <si>
    <t>individual</t>
  </si>
  <si>
    <t>solepropship</t>
  </si>
  <si>
    <t>partnership</t>
  </si>
  <si>
    <t>corporation</t>
  </si>
  <si>
    <t>privatecorp</t>
  </si>
  <si>
    <t>llc</t>
  </si>
  <si>
    <t>jointventure</t>
  </si>
  <si>
    <t>commonownership</t>
  </si>
  <si>
    <t>limitedpartnership</t>
  </si>
  <si>
    <t>trustestate</t>
  </si>
  <si>
    <t>executortrustee</t>
  </si>
  <si>
    <t>llp</t>
  </si>
  <si>
    <t>government</t>
  </si>
  <si>
    <t>nonprofit</t>
  </si>
  <si>
    <t>religious</t>
  </si>
  <si>
    <t>other</t>
  </si>
  <si>
    <t>AK</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</si>
  <si>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</si>
  <si>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</si>
  <si>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</si>
  <si>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</si>
  <si>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</si>
  <si>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</si>
  <si>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</si>
  <si>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</si>
  <si>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</si>
  <si>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</si>
  <si>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</si>
  <si>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</si>
  <si>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</si>
  <si>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</si>
  <si>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</si>
  <si>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</si>
  <si>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</si>
  <si>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</si>
  <si>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</si>
  <si>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</si>
  <si>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</si>
  <si>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</si>
  <si>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</si>
  <si>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</si>
  <si>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</si>
  <si>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</si>
  <si>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</si>
  <si>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</si>
  <si>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</si>
  <si>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</si>
  <si>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</si>
  <si>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</si>
  <si>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</si>
  <si>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</si>
  <si>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</si>
  <si>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</si>
  <si>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</si>
  <si>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</si>
  <si>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PR</t>
  </si>
  <si>
    <t>RI</t>
  </si>
  <si>
    <t>SC</t>
  </si>
  <si>
    <t>SD</t>
  </si>
  <si>
    <t>TN</t>
  </si>
  <si>
    <t>TX</t>
  </si>
  <si>
    <t>UT</t>
  </si>
  <si>
    <t>VA</t>
  </si>
  <si>
    <t>VT</t>
  </si>
  <si>
    <t>WA</t>
  </si>
  <si>
    <t>WI</t>
  </si>
  <si>
    <t>WV</t>
  </si>
  <si>
    <t>WY</t>
  </si>
  <si>
    <t>AB</t>
  </si>
  <si>
    <t>BC</t>
  </si>
  <si>
    <t>MB</t>
  </si>
  <si>
    <t>NB</t>
  </si>
  <si>
    <t>NL</t>
  </si>
  <si>
    <t>NT</t>
  </si>
  <si>
    <t>NS</t>
  </si>
  <si>
    <t>NU</t>
  </si>
  <si>
    <t>ON</t>
  </si>
  <si>
    <t>PE</t>
  </si>
  <si>
    <t>QC</t>
  </si>
  <si>
    <t>SK</t>
  </si>
  <si>
    <t>YT</t>
  </si>
  <si>
    <t>VI</t>
  </si>
  <si>
    <t>MP</t>
  </si>
  <si>
    <t>MH</t>
  </si>
  <si>
    <t>GU</t>
  </si>
  <si>
    <t>FM</t>
  </si>
  <si>
    <t>AU_SA</t>
  </si>
  <si>
    <t>AU_NT</t>
  </si>
  <si>
    <t>AU_QLD</t>
  </si>
  <si>
    <t>AU_NSW</t>
  </si>
  <si>
    <t>AU_VIC</t>
  </si>
  <si>
    <t>AU_WA</t>
  </si>
  <si>
    <t>AU_TAS</t>
  </si>
  <si>
    <t>AU_ACT</t>
  </si>
  <si>
    <t>AU_JBT</t>
  </si>
  <si>
    <t>DE_BY</t>
  </si>
  <si>
    <t>DE_BW</t>
  </si>
  <si>
    <t>DE_BE</t>
  </si>
  <si>
    <t>DE_BB</t>
  </si>
  <si>
    <t>DE_HB</t>
  </si>
  <si>
    <t>DE_HH</t>
  </si>
  <si>
    <t>DE_HE</t>
  </si>
  <si>
    <t>DE_MV</t>
  </si>
  <si>
    <t>DE_NI</t>
  </si>
  <si>
    <t>DE_NW</t>
  </si>
  <si>
    <t>DE_RP</t>
  </si>
  <si>
    <t>DE_ST</t>
  </si>
  <si>
    <t>DE_SH</t>
  </si>
  <si>
    <t>DE_SL</t>
  </si>
  <si>
    <t>DE_SN</t>
  </si>
  <si>
    <t>DE_TH</t>
  </si>
  <si>
    <t>JP</t>
  </si>
  <si>
    <t>FR</t>
  </si>
  <si>
    <t>GB</t>
  </si>
  <si>
    <t>usd</t>
  </si>
  <si>
    <t>eur</t>
  </si>
  <si>
    <t>gbp</t>
  </si>
  <si>
    <t>cad</t>
  </si>
  <si>
    <t>aud</t>
  </si>
  <si>
    <t>rub</t>
  </si>
  <si>
    <t>jpy</t>
  </si>
  <si>
    <t>User Story Card - UI Validation &amp; Business Rules</t>
  </si>
  <si>
    <t xml:space="preserve">    Track any validation and/or business rules related to this story or link to a Master Business Rules Spreadsheet</t>
  </si>
  <si>
    <t>Validation Details</t>
  </si>
  <si>
    <t>Field or Filter</t>
  </si>
  <si>
    <t>Rules or Conditions</t>
  </si>
  <si>
    <t>Error or Warning?</t>
  </si>
  <si>
    <t>Warning or Error Message</t>
  </si>
  <si>
    <t>Comments</t>
  </si>
  <si>
    <t>Reference ID</t>
  </si>
  <si>
    <t>SubmissionWizard_PolicyInfoScreen.pcf</t>
  </si>
  <si>
    <t>Underwriting Companies</t>
  </si>
  <si>
    <t>PolicyPeriod.getUWCompaniesForStates(true).toTypedArray() is called to determine list of valid values</t>
  </si>
  <si>
    <t>Error</t>
  </si>
  <si>
    <t>There is logic in the PCF to validate UWCompany - An error message is shown if it is not valid</t>
  </si>
  <si>
    <t>PC10.VAL.1</t>
  </si>
  <si>
    <t>TermType</t>
  </si>
  <si>
    <t>Changing the termtype Updates the Expiration Date of the policy</t>
  </si>
  <si>
    <t>PC10.VAL.2</t>
  </si>
  <si>
    <t xml:space="preserve">Changing the effective date updates the expiration date </t>
  </si>
  <si>
    <t>PC10.VAL.3</t>
  </si>
  <si>
    <t>Changing the expiration date updates the term type</t>
  </si>
  <si>
    <t>Expiration Date is editable only for policy term "Other"</t>
  </si>
  <si>
    <t>PC10.VAL.4</t>
  </si>
  <si>
    <t>User Story Card - Action Items</t>
  </si>
  <si>
    <t xml:space="preserve">    Track relevant action items for the user story; most commonly used during Inception workshops</t>
  </si>
  <si>
    <t xml:space="preserve">Action Items Details </t>
  </si>
  <si>
    <t>S.No.</t>
  </si>
  <si>
    <t xml:space="preserve">Action Item - Description </t>
  </si>
  <si>
    <t>Resolution/Comments</t>
  </si>
  <si>
    <t>Assigned to</t>
  </si>
  <si>
    <t>Date Added</t>
  </si>
  <si>
    <t>Target Date</t>
  </si>
  <si>
    <t>Actual Completion Date</t>
  </si>
  <si>
    <t>User Story Card - Business Acceptance</t>
  </si>
  <si>
    <t xml:space="preserve">    Track acceptance criteria for this story, as well as child/dependent stories or project activities</t>
  </si>
  <si>
    <t>SME or Product Owner Sign-Off of implemented functionality according to Acceptance Criteria</t>
  </si>
  <si>
    <t>Acceptance Details</t>
  </si>
  <si>
    <t>Acceptance Criteria</t>
  </si>
  <si>
    <t>User Story / Defect Number</t>
  </si>
  <si>
    <t>Success/Failure</t>
  </si>
  <si>
    <t>Related Documentation</t>
  </si>
  <si>
    <t>Document Name/ID</t>
  </si>
  <si>
    <t>Document Description</t>
  </si>
  <si>
    <t>Document Link</t>
  </si>
  <si>
    <t>User Story Card - UI Final</t>
  </si>
  <si>
    <t xml:space="preserve">    Create screen shots of the final UI after all user story development has been completed</t>
  </si>
  <si>
    <t>Enter name of the screen here</t>
  </si>
  <si>
    <t>User Story Card - Implementation Details</t>
  </si>
  <si>
    <t xml:space="preserve"> Record Implementation Details e.g. gosu classes, design notes, Object Model Changes, Integrations , 
references to external design documents</t>
  </si>
  <si>
    <t>Enter Implementation Details here</t>
  </si>
  <si>
    <t>Implementation Notes</t>
  </si>
  <si>
    <t>User Story Card - Estimation</t>
  </si>
  <si>
    <t xml:space="preserve">    Track estimates here if you do not use Rally or the planner, or if you have other unique estimating requirements</t>
  </si>
  <si>
    <t>Resource Type</t>
  </si>
  <si>
    <t>Hours</t>
  </si>
  <si>
    <t>% of Effort</t>
  </si>
  <si>
    <t>Comment</t>
  </si>
  <si>
    <t>BA</t>
  </si>
  <si>
    <t>DA</t>
  </si>
  <si>
    <t>Config.</t>
  </si>
  <si>
    <t>GW Int.</t>
  </si>
  <si>
    <t>Other Int.</t>
  </si>
  <si>
    <t>QA</t>
  </si>
  <si>
    <t>Infrast.</t>
  </si>
  <si>
    <t>Data Arch</t>
  </si>
  <si>
    <t>ETL</t>
  </si>
  <si>
    <t>BI</t>
  </si>
  <si>
    <t>DP Config</t>
  </si>
  <si>
    <t>DP Look And Feel</t>
  </si>
  <si>
    <t>Totals</t>
  </si>
  <si>
    <t>Estimate Assumptions</t>
  </si>
  <si>
    <t>Products</t>
  </si>
  <si>
    <t>UserStory Status</t>
  </si>
  <si>
    <t>Action Items Status</t>
  </si>
  <si>
    <t>Product Alignment Values</t>
  </si>
  <si>
    <t>Business Value</t>
  </si>
  <si>
    <t>Boolean</t>
  </si>
  <si>
    <t>Story Risk</t>
  </si>
  <si>
    <t>PolicyCenter</t>
  </si>
  <si>
    <t>New</t>
  </si>
  <si>
    <t>4 - Highest Value</t>
  </si>
  <si>
    <t>8.0 Upgrade, Optional</t>
  </si>
  <si>
    <t>BillingCenter</t>
  </si>
  <si>
    <t>In Progress</t>
  </si>
  <si>
    <t>Modified</t>
  </si>
  <si>
    <t>3 - Significant Alignment</t>
  </si>
  <si>
    <t>8.0 Upgrade, Required</t>
  </si>
  <si>
    <t>2. High</t>
  </si>
  <si>
    <t>ClaimCenter</t>
  </si>
  <si>
    <t>In Review</t>
  </si>
  <si>
    <t>Completed</t>
  </si>
  <si>
    <t>2 - Moderate Alignment</t>
  </si>
  <si>
    <t>2 - Moderate Value</t>
  </si>
  <si>
    <t>Accelerators</t>
  </si>
  <si>
    <t>3. Medium</t>
  </si>
  <si>
    <t>Rating</t>
  </si>
  <si>
    <t>Approved</t>
  </si>
  <si>
    <t>Delayed</t>
  </si>
  <si>
    <t>1 - Minimal Alignment</t>
  </si>
  <si>
    <t>1 - Minimal Value</t>
  </si>
  <si>
    <t>Account</t>
  </si>
  <si>
    <t>4. Low</t>
  </si>
  <si>
    <t>Reinsurance</t>
  </si>
  <si>
    <t>Final</t>
  </si>
  <si>
    <t>0 - No Alignment</t>
  </si>
  <si>
    <t>0 - No Value</t>
  </si>
  <si>
    <t>Account Synchronization</t>
  </si>
  <si>
    <t>Mobile &amp; Portal</t>
  </si>
  <si>
    <t>Address Verification</t>
  </si>
  <si>
    <t>DataHub</t>
  </si>
  <si>
    <t>Adjudicate</t>
  </si>
  <si>
    <t>InfoCenter</t>
  </si>
  <si>
    <t>Admin</t>
  </si>
  <si>
    <t>Agency Management System</t>
  </si>
  <si>
    <t>Authentication</t>
  </si>
  <si>
    <t>Auto Estimate</t>
  </si>
  <si>
    <t>Auto Salvage</t>
  </si>
  <si>
    <t>Automated Document Production</t>
  </si>
  <si>
    <t>Base Product Installation</t>
  </si>
  <si>
    <t>BC to CC - Aggregate Limit determination</t>
  </si>
  <si>
    <t>Billing / Payment Plans</t>
  </si>
  <si>
    <t>Billing Inquiry</t>
  </si>
  <si>
    <t>Billing Instructions</t>
  </si>
  <si>
    <t>Billing System Cancellation Requests</t>
  </si>
  <si>
    <t>Bind/Issue</t>
  </si>
  <si>
    <t>Bulk Invoice feed</t>
  </si>
  <si>
    <t>Cancel/Reinstate/Rewrite</t>
  </si>
  <si>
    <t>Cancellation System</t>
  </si>
  <si>
    <t>CC to PC - Coverage Verification</t>
  </si>
  <si>
    <t>CC to PC - Large Loss Notifications</t>
  </si>
  <si>
    <t>Change</t>
  </si>
  <si>
    <t>Check Printing</t>
  </si>
  <si>
    <t>Claim Deductibles</t>
  </si>
  <si>
    <t>Claim Inquiry</t>
  </si>
  <si>
    <t>Client Data Management</t>
  </si>
  <si>
    <t>Client/Contacts</t>
  </si>
  <si>
    <t>Collateral</t>
  </si>
  <si>
    <t>Collection Agency Support</t>
  </si>
  <si>
    <t>Collection Management System</t>
  </si>
  <si>
    <t>Collections</t>
  </si>
  <si>
    <t>Commissions</t>
  </si>
  <si>
    <t>Common</t>
  </si>
  <si>
    <t>Common/Admin</t>
  </si>
  <si>
    <t>Comparative Rater</t>
  </si>
  <si>
    <t>Complete Quotes with Full Policy Graph</t>
  </si>
  <si>
    <t>Compliance System</t>
  </si>
  <si>
    <t>ContactManager</t>
  </si>
  <si>
    <t>Credit Card Payments</t>
  </si>
  <si>
    <t>Credit Scoring</t>
  </si>
  <si>
    <t>Custom Accounts Payable Integration 01</t>
  </si>
  <si>
    <t>Custom Accounts Payable Integration 02</t>
  </si>
  <si>
    <t>Custom Accounts Receivable Integration 01</t>
  </si>
  <si>
    <t>Custom Accounts Receivable Integration 02</t>
  </si>
  <si>
    <t>Custom Address and Location Integration 01</t>
  </si>
  <si>
    <t>Custom Address and Location Integration 02</t>
  </si>
  <si>
    <t>Custom Authentication Integration 01</t>
  </si>
  <si>
    <t>Custom Authentication Integration 02</t>
  </si>
  <si>
    <t>Custom BI and Reporting Integration 01</t>
  </si>
  <si>
    <t>Custom BI and Reporting Integration 02</t>
  </si>
  <si>
    <t>Custom Billing Integration 01</t>
  </si>
  <si>
    <t>Custom Billing Integration 02</t>
  </si>
  <si>
    <t>Custom Common Integration 01</t>
  </si>
  <si>
    <t>Custom Common Integration 02</t>
  </si>
  <si>
    <t>Custom Contact System Integration 01</t>
  </si>
  <si>
    <t>Custom Contact System Integration 02</t>
  </si>
  <si>
    <t>Custom Document Management Integration 01</t>
  </si>
  <si>
    <t>Custom Document Management Integration 02</t>
  </si>
  <si>
    <t>Custom Document Production Integration 01</t>
  </si>
  <si>
    <t>Custom Document Production Integration 02</t>
  </si>
  <si>
    <t>Custom Fraud Integration 01</t>
  </si>
  <si>
    <t>Custom Fraud Integration 02</t>
  </si>
  <si>
    <t>Custom Other Integration 01</t>
  </si>
  <si>
    <t>Custom Other Integration 02</t>
  </si>
  <si>
    <t>Custom Policy Extracts from Claims Systems</t>
  </si>
  <si>
    <t>Custom Policy Integration 01</t>
  </si>
  <si>
    <t>Custom Policy Integration 02</t>
  </si>
  <si>
    <t>Custom Portal Integration 01</t>
  </si>
  <si>
    <t>Custom Portal Integration 02</t>
  </si>
  <si>
    <t>Custom Producer Integration 01</t>
  </si>
  <si>
    <t>Custom Producer Integration 02</t>
  </si>
  <si>
    <t>Custom Product Rating Integration 01</t>
  </si>
  <si>
    <t>Custom Product Rating Integration 02</t>
  </si>
  <si>
    <t>Custom Reinsurance Integration 01</t>
  </si>
  <si>
    <t>Custom Reinsurance Integration 02</t>
  </si>
  <si>
    <t>Custom Report</t>
  </si>
  <si>
    <t>Custom Telephony Integration 01</t>
  </si>
  <si>
    <t>Custom Telephony Integration 02</t>
  </si>
  <si>
    <t>Custom Third Party Data Provider Integration 01</t>
  </si>
  <si>
    <t>Custom Third Party Data Provider Integration 02</t>
  </si>
  <si>
    <t>Custom Valuation Integration 01</t>
  </si>
  <si>
    <t>Custom Valuation Integration 02</t>
  </si>
  <si>
    <t>Custom Vehicle and Driver Integration 01</t>
  </si>
  <si>
    <t>Custom Vehicle and Driver Integration 02</t>
  </si>
  <si>
    <t>Customer Portal</t>
  </si>
  <si>
    <t>Customer Service</t>
  </si>
  <si>
    <t>Customer Specific</t>
  </si>
  <si>
    <t>Dashboard</t>
  </si>
  <si>
    <t>Data Warehouse</t>
  </si>
  <si>
    <t>Deployment</t>
  </si>
  <si>
    <t>DH to 1099</t>
  </si>
  <si>
    <t>Disbursements</t>
  </si>
  <si>
    <t>Document Management</t>
  </si>
  <si>
    <t>Document Production</t>
  </si>
  <si>
    <t>EFT Payments</t>
  </si>
  <si>
    <t>Electronic Signature</t>
  </si>
  <si>
    <t>Entity</t>
  </si>
  <si>
    <t>Entity- Migration-Functional Testing</t>
  </si>
  <si>
    <t>Evaluate</t>
  </si>
  <si>
    <t>Excel Data Loader Initial Producer Load</t>
  </si>
  <si>
    <t>Extend Existing DH for Commercial Auto LOB</t>
  </si>
  <si>
    <t>Extend Existing DH for Commercial Property LOB</t>
  </si>
  <si>
    <t>Extend Existing DH for Custom Policy, Claim &amp; Billing</t>
  </si>
  <si>
    <t>Extend Existing DH for General Liability LOB</t>
  </si>
  <si>
    <t>Extend Existing DH for Homeowners LOB</t>
  </si>
  <si>
    <t>Extend Existing DH for Personal Auto LOB</t>
  </si>
  <si>
    <t>Extend Existing IC for Commercial Auto LOB</t>
  </si>
  <si>
    <t>Extend Existing IC for Commercial Property LOB</t>
  </si>
  <si>
    <t>Extend Existing IC for Custom Policy, Claim &amp; Billing</t>
  </si>
  <si>
    <t>Extend Existing IC for General Liability LOB</t>
  </si>
  <si>
    <t>Extend Existing IC for Homeowners LOB</t>
  </si>
  <si>
    <t>Extend Existing IC for Personal Auto LOB</t>
  </si>
  <si>
    <t>External Contact System</t>
  </si>
  <si>
    <t>External Rating System</t>
  </si>
  <si>
    <t>External Reinsurance System</t>
  </si>
  <si>
    <t>External Reserving System</t>
  </si>
  <si>
    <t>External Staging Tables</t>
  </si>
  <si>
    <t>Field Level Encryption</t>
  </si>
  <si>
    <t>Financial</t>
  </si>
  <si>
    <t>FNOL</t>
  </si>
  <si>
    <t>Forms</t>
  </si>
  <si>
    <t>Gap</t>
  </si>
  <si>
    <t>General</t>
  </si>
  <si>
    <t>General Ledger</t>
  </si>
  <si>
    <t>General Ledger - BC</t>
  </si>
  <si>
    <t>General Ledger - CC</t>
  </si>
  <si>
    <t>General Ledger - PC</t>
  </si>
  <si>
    <t>General- Migration-Functional Testing</t>
  </si>
  <si>
    <t>Geocoding and Mapping</t>
  </si>
  <si>
    <t>Glass Claims</t>
  </si>
  <si>
    <t>Government Sanctions</t>
  </si>
  <si>
    <t>Inbound Payments File</t>
  </si>
  <si>
    <t>Infrastructure</t>
  </si>
  <si>
    <t>Infrastructure - non-GW</t>
  </si>
  <si>
    <t>Intake</t>
  </si>
  <si>
    <t>Integration Architecture</t>
  </si>
  <si>
    <t>Invoice</t>
  </si>
  <si>
    <t>Invoicing</t>
  </si>
  <si>
    <t>ISO ClaimDirector</t>
  </si>
  <si>
    <t>ISO ClaimSearch</t>
  </si>
  <si>
    <t>ISO SPI</t>
  </si>
  <si>
    <t>Issuance</t>
  </si>
  <si>
    <t>ITV</t>
  </si>
  <si>
    <t>IVR</t>
  </si>
  <si>
    <t>Landing Page</t>
  </si>
  <si>
    <t>Large Custom DM</t>
  </si>
  <si>
    <t>Large Custom LOB</t>
  </si>
  <si>
    <t>Large Custom Reports</t>
  </si>
  <si>
    <t>Legacy Claim System Coverage Verification</t>
  </si>
  <si>
    <t>Legacy Data Compatability Analysis</t>
  </si>
  <si>
    <t>Legacy Data Mapping Assistance</t>
  </si>
  <si>
    <t>Legacy Guidewire Mapping</t>
  </si>
  <si>
    <t>Legacy Policy System Search and Retrieve</t>
  </si>
  <si>
    <t>Legacy System of Record</t>
  </si>
  <si>
    <t>Legal Bill Review</t>
  </si>
  <si>
    <t>Localization</t>
  </si>
  <si>
    <t>Maintenance Upgrade</t>
  </si>
  <si>
    <t>Major Upgrade</t>
  </si>
  <si>
    <t>Manual Document Production</t>
  </si>
  <si>
    <t>Medical Bill Review</t>
  </si>
  <si>
    <t>Medium Custom DM</t>
  </si>
  <si>
    <t>Medium Custom LOB</t>
  </si>
  <si>
    <t>Medium Custom Reports</t>
  </si>
  <si>
    <t>Messages</t>
  </si>
  <si>
    <t>Metropolitan police reports</t>
  </si>
  <si>
    <t>Migrate Claims Contacts using CM</t>
  </si>
  <si>
    <t>Migrate Policy Contacts using CDM</t>
  </si>
  <si>
    <t>Mortgagee Bill</t>
  </si>
  <si>
    <t>Multicurrency</t>
  </si>
  <si>
    <t>MVR</t>
  </si>
  <si>
    <t>My DataHub Integration 09</t>
  </si>
  <si>
    <t>My DataHub Integration 10</t>
  </si>
  <si>
    <t>My DataHub Integration 11</t>
  </si>
  <si>
    <t>My DataHub Integration 12</t>
  </si>
  <si>
    <t>My DataHub Integration 13</t>
  </si>
  <si>
    <t>My DataHub Integration 14</t>
  </si>
  <si>
    <t>My DataHub Integration 15</t>
  </si>
  <si>
    <t>My DataHub Integration 16</t>
  </si>
  <si>
    <t>My DataHub Integration 17</t>
  </si>
  <si>
    <t>My DataHub Integration 18</t>
  </si>
  <si>
    <t>My DataHub Integration 19</t>
  </si>
  <si>
    <t>My DataHub Integration 20</t>
  </si>
  <si>
    <t>MyCustomIntegration01</t>
  </si>
  <si>
    <t>MyCustomIntegration02</t>
  </si>
  <si>
    <t>Number Generation</t>
  </si>
  <si>
    <t>Nurse case management</t>
  </si>
  <si>
    <t>Operational</t>
  </si>
  <si>
    <t>Other - Batch Inbound Data</t>
  </si>
  <si>
    <t>Other - Batch Outbound Data</t>
  </si>
  <si>
    <t>Other - Bi Directional Messaging</t>
  </si>
  <si>
    <t>Other - EDI</t>
  </si>
  <si>
    <t>Other - Inbound Web Service</t>
  </si>
  <si>
    <t>Other - Police Reports</t>
  </si>
  <si>
    <t>Other - Real time Inbound</t>
  </si>
  <si>
    <t>Other - Rental Car</t>
  </si>
  <si>
    <t>Other - Uni Directional Messaging</t>
  </si>
  <si>
    <t>Other - Web Service</t>
  </si>
  <si>
    <t>Other Group/List Bill</t>
  </si>
  <si>
    <t>Payment</t>
  </si>
  <si>
    <t>Payment/Promise Upload</t>
  </si>
  <si>
    <t>Payments</t>
  </si>
  <si>
    <t>Payroll Deduction</t>
  </si>
  <si>
    <t>PC to CC - Retreive Claim Info</t>
  </si>
  <si>
    <t>Police Reports</t>
  </si>
  <si>
    <t>Policy</t>
  </si>
  <si>
    <t>Policy Inquiry</t>
  </si>
  <si>
    <t>Premium Audit</t>
  </si>
  <si>
    <t>Producer Management System</t>
  </si>
  <si>
    <t>Producer Portal</t>
  </si>
  <si>
    <t>Product Model</t>
  </si>
  <si>
    <t>Product Upgrade</t>
  </si>
  <si>
    <t>Property Estimate</t>
  </si>
  <si>
    <t>Quote</t>
  </si>
  <si>
    <t>Quote/Application</t>
  </si>
  <si>
    <t>Quote/Apply</t>
  </si>
  <si>
    <t>Quotes: Hit  Ratio Reporting Only</t>
  </si>
  <si>
    <t>Regulatory</t>
  </si>
  <si>
    <t>Reinsurance - Administration</t>
  </si>
  <si>
    <t>Reinsurance - Definition</t>
  </si>
  <si>
    <t>Reinsurance - Policy File</t>
  </si>
  <si>
    <t>Reinsurance - Premium Ceding</t>
  </si>
  <si>
    <t>Renewal</t>
  </si>
  <si>
    <t>Rental Car</t>
  </si>
  <si>
    <t>Retrieve Billing Account Summary</t>
  </si>
  <si>
    <t>Retrieve Legacy Claim Information</t>
  </si>
  <si>
    <t>Review</t>
  </si>
  <si>
    <t>Roadside assistance</t>
  </si>
  <si>
    <t>Security</t>
  </si>
  <si>
    <t>Service Policy</t>
  </si>
  <si>
    <t>Service Request</t>
  </si>
  <si>
    <t>Settle/Close</t>
  </si>
  <si>
    <t>Small Custom DM</t>
  </si>
  <si>
    <t>Small Custom LOB</t>
  </si>
  <si>
    <t>Small Custom Reports</t>
  </si>
  <si>
    <t>Special Services</t>
  </si>
  <si>
    <t>STAT Reporting - ISO</t>
  </si>
  <si>
    <t>Statistical reporting</t>
  </si>
  <si>
    <t>System Administration</t>
  </si>
  <si>
    <t>Tax Reporting</t>
  </si>
  <si>
    <t>Team</t>
  </si>
  <si>
    <t>Underwriting</t>
  </si>
  <si>
    <t>Underwriting Data Retrieval</t>
  </si>
  <si>
    <t>Upgrade - CC-AB Database Items</t>
  </si>
  <si>
    <t>Upgrade AB Database</t>
  </si>
  <si>
    <t>Upgrade AB Integrations</t>
  </si>
  <si>
    <t>Upgrade Database</t>
  </si>
  <si>
    <t>Upgrade Infrastructure</t>
  </si>
  <si>
    <t>Upgrade to 7.0+ CC Config.</t>
  </si>
  <si>
    <t>Upgrade to 8.0 BC Config.</t>
  </si>
  <si>
    <t>Upgrade to 8.0 CC Config.</t>
  </si>
  <si>
    <t>Upgrade to 8.0 CDM Config.</t>
  </si>
  <si>
    <t>Upgrade to 8.0 CM Config.</t>
  </si>
  <si>
    <t>Upgrade to 8.0 PC Config.</t>
  </si>
  <si>
    <t>User Provisioning</t>
  </si>
  <si>
    <t>Vehicle Data Retrieval</t>
  </si>
  <si>
    <t>Wholesale Billing</t>
  </si>
  <si>
    <t>Wizard Flow</t>
  </si>
  <si>
    <t>Workers Comp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</si>
</sst>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809]dd\ mmmm\ yyyy;@"/>
    <numFmt numFmtId="165" formatCode="0.0%"/>
    <numFmt numFmtId="166" formatCode="0.0"/>
    <numFmt numFmtId="167" formatCode="[$-409]d\-mmm\-yy;@"/>
    <numFmt numFmtId="168" formatCode="[$-409]d\-mmm\-yyyy;@"/>
  </numFmts>
  <fonts count="26" x14ac:knownFonts="1">
    <font>
      <sz val="10"/>
      <name val="Arial"/>
    </font>
    <font>
      <sz val="11"/>
      <color theme="1"/>
      <name val="Calibri"/>
      <family val="2"/>
      <scheme val="minor"/>
    </font>
    <font>
      <b/>
      <sz val="10"/>
      <name val="Arial"/>
      <family val="2"/>
    </font>
    <font>
      <sz val="10"/>
      <name val="Arial"/>
      <family val="2"/>
    </font>
    <font>
      <sz val="8"/>
      <color indexed="81"/>
      <name val="Tahoma"/>
      <family val="2"/>
    </font>
    <font>
      <u/>
      <sz val="10"/>
      <color indexed="12"/>
      <name val="Arial"/>
      <family val="2"/>
    </font>
    <font>
      <sz val="8"/>
      <name val="Arial"/>
      <family val="2"/>
    </font>
    <font>
      <sz val="11"/>
      <color theme="0"/>
      <name val="Calibri"/>
      <family val="2"/>
      <scheme val="minor"/>
    </font>
    <font>
      <sz val="11"/>
      <name val="Calibri"/>
      <family val="2"/>
      <scheme val="minor"/>
    </font>
    <font>
      <sz val="10"/>
      <name val="Calibri"/>
      <family val="2"/>
      <scheme val="minor"/>
    </font>
    <font>
      <b/>
      <sz val="20"/>
      <name val="Calibri"/>
      <family val="2"/>
      <scheme val="minor"/>
    </font>
    <font>
      <i/>
      <sz val="10"/>
      <name val="Calibri"/>
      <family val="2"/>
      <scheme val="minor"/>
    </font>
    <font>
      <b/>
      <sz val="10"/>
      <color indexed="9"/>
      <name val="Calibri"/>
      <family val="2"/>
      <scheme val="minor"/>
    </font>
    <font>
      <i/>
      <sz val="11"/>
      <name val="Calibri"/>
      <family val="2"/>
      <scheme val="minor"/>
    </font>
    <font>
      <b/>
      <sz val="11"/>
      <name val="Calibri"/>
      <family val="2"/>
      <scheme val="minor"/>
    </font>
    <font>
      <b/>
      <sz val="11"/>
      <color indexed="9"/>
      <name val="Calibri"/>
      <family val="2"/>
      <scheme val="minor"/>
    </font>
    <font>
      <sz val="11"/>
      <name val="Arial"/>
      <family val="2"/>
    </font>
    <font>
      <sz val="9"/>
      <color indexed="81"/>
      <name val="Tahoma"/>
      <family val="2"/>
    </font>
    <font>
      <b/>
      <sz val="10"/>
      <name val="Calibri"/>
      <family val="2"/>
      <scheme val="minor"/>
    </font>
    <font>
      <b/>
      <sz val="8"/>
      <color indexed="81"/>
      <name val="Tahoma"/>
      <family val="2"/>
    </font>
    <font>
      <b/>
      <sz val="9"/>
      <color indexed="81"/>
      <name val="Tahoma"/>
      <family val="2"/>
    </font>
    <font>
      <b/>
      <sz val="11"/>
      <color theme="9"/>
      <name val="Calibri"/>
      <family val="2"/>
      <scheme val="minor"/>
    </font>
    <font>
      <sz val="10"/>
      <color theme="0"/>
      <name val="Calibri"/>
      <family val="2"/>
      <scheme val="minor"/>
    </font>
    <font>
      <sz val="11"/>
      <color rgb="FFFF0000"/>
      <name val="Calibri"/>
      <family val="2"/>
      <scheme val="minor"/>
    </font>
    <font>
      <sz val="10"/>
      <color rgb="FFFF0000"/>
      <name val="Arial"/>
      <family val="2"/>
    </font>
    <font>
      <sz val="10"/>
      <color rgb="FFFF0000"/>
      <name val="Calibri"/>
      <family val="2"/>
      <scheme val="minor"/>
    </font>
  </fonts>
  <fills count="16">
    <fill>
      <patternFill patternType="none"/>
    </fill>
    <fill>
      <patternFill patternType="gray125"/>
    </fill>
    <fill>
      <patternFill patternType="solid">
        <fgColor theme="4"/>
      </patternFill>
    </fill>
    <fill>
      <patternFill patternType="solid">
        <fgColor theme="6"/>
      </patternFill>
    </fill>
    <fill>
      <patternFill patternType="solid">
        <fgColor theme="5"/>
      </patternFill>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bgColor indexed="64"/>
      </patternFill>
    </fill>
    <fill>
      <patternFill patternType="solid">
        <fgColor theme="2"/>
        <bgColor indexed="64"/>
      </patternFill>
    </fill>
    <fill>
      <patternFill patternType="solid">
        <fgColor theme="0" tint="-0.14996795556505021"/>
        <bgColor indexed="64"/>
      </patternFill>
    </fill>
    <fill>
      <patternFill patternType="solid">
        <fgColor rgb="FF002060"/>
        <bgColor indexed="64"/>
      </patternFill>
    </fill>
    <fill>
      <patternFill patternType="solid">
        <fgColor rgb="FFFDDC59"/>
        <bgColor indexed="64"/>
      </patternFill>
    </fill>
    <fill>
      <patternFill patternType="solid">
        <fgColor rgb="FFFFFFFF"/>
        <bgColor indexed="64"/>
      </patternFill>
    </fill>
    <fill>
      <patternFill patternType="solid">
        <fgColor theme="8"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s>
  <cellStyleXfs count="6">
    <xf numFmtId="0" fontId="0" fillId="0" borderId="0"/>
    <xf numFmtId="0" fontId="7" fillId="2" borderId="0" applyNumberFormat="0" applyBorder="0" applyAlignment="0" applyProtection="0"/>
    <xf numFmtId="0" fontId="7" fillId="3" borderId="0" applyNumberFormat="0" applyBorder="0" applyAlignment="0" applyProtection="0"/>
    <xf numFmtId="0" fontId="5" fillId="0" borderId="0" applyNumberFormat="0" applyFill="0" applyBorder="0" applyAlignment="0" applyProtection="0">
      <alignment vertical="top"/>
      <protection locked="0"/>
    </xf>
    <xf numFmtId="0" fontId="3" fillId="0" borderId="0"/>
    <xf numFmtId="0" fontId="7" fillId="4" borderId="0" applyNumberFormat="0" applyBorder="0" applyAlignment="0" applyProtection="0"/>
  </cellStyleXfs>
  <cellXfs count="269">
    <xf numFmtId="0" fontId="0" fillId="0" borderId="0" xfId="0"/>
    <xf numFmtId="0" fontId="0" fillId="0" borderId="0" xfId="0" applyAlignment="1">
      <alignment vertical="top"/>
    </xf>
    <xf numFmtId="0" fontId="0" fillId="0" borderId="0" xfId="0" applyAlignment="1">
      <alignment vertical="top" wrapText="1"/>
    </xf>
    <xf numFmtId="0" fontId="3" fillId="0" borderId="0" xfId="4"/>
    <xf numFmtId="0" fontId="3" fillId="0" borderId="1" xfId="4" applyBorder="1" applyAlignment="1">
      <alignment horizontal="left" wrapText="1"/>
    </xf>
    <xf numFmtId="0" fontId="9" fillId="0" borderId="0" xfId="0" applyFont="1"/>
    <xf numFmtId="0" fontId="9" fillId="0" borderId="0" xfId="0" applyFont="1" applyAlignment="1">
      <alignment wrapText="1"/>
    </xf>
    <xf numFmtId="0" fontId="3" fillId="0" borderId="0" xfId="0" applyFont="1" applyAlignment="1">
      <alignment vertical="top"/>
    </xf>
    <xf numFmtId="0" fontId="7" fillId="5" borderId="1" xfId="2" applyFill="1" applyBorder="1" applyAlignment="1">
      <alignment vertical="top"/>
    </xf>
    <xf numFmtId="0" fontId="8" fillId="7" borderId="1" xfId="2" applyFont="1" applyFill="1" applyBorder="1" applyAlignment="1">
      <alignment horizontal="center" vertical="center"/>
    </xf>
    <xf numFmtId="0" fontId="9" fillId="0" borderId="0" xfId="0" applyFont="1" applyAlignment="1">
      <alignment vertical="center"/>
    </xf>
    <xf numFmtId="0" fontId="10" fillId="6" borderId="0" xfId="0" applyFont="1" applyFill="1" applyAlignment="1">
      <alignment vertical="top"/>
    </xf>
    <xf numFmtId="0" fontId="9" fillId="0" borderId="0" xfId="0" applyFont="1" applyAlignment="1">
      <alignment vertical="center" wrapText="1"/>
    </xf>
    <xf numFmtId="0" fontId="9" fillId="6" borderId="0" xfId="0" applyFont="1" applyFill="1" applyAlignment="1">
      <alignment vertical="center"/>
    </xf>
    <xf numFmtId="0" fontId="9" fillId="0" borderId="0" xfId="0" applyFont="1" applyAlignment="1">
      <alignment vertical="top"/>
    </xf>
    <xf numFmtId="0" fontId="9" fillId="6" borderId="0" xfId="0" applyFont="1" applyFill="1"/>
    <xf numFmtId="0" fontId="9" fillId="6" borderId="0" xfId="0" applyFont="1" applyFill="1" applyAlignment="1">
      <alignment vertical="top"/>
    </xf>
    <xf numFmtId="0" fontId="12" fillId="0" borderId="0" xfId="0" applyFont="1"/>
    <xf numFmtId="0" fontId="9" fillId="0" borderId="0" xfId="0" applyFont="1" applyAlignment="1">
      <alignment horizontal="left" wrapText="1"/>
    </xf>
    <xf numFmtId="0" fontId="9" fillId="0" borderId="0" xfId="4" applyFont="1"/>
    <xf numFmtId="0" fontId="9" fillId="0" borderId="0" xfId="4" applyFont="1" applyAlignment="1">
      <alignment vertical="top"/>
    </xf>
    <xf numFmtId="0" fontId="9" fillId="0" borderId="1" xfId="4" applyFont="1" applyBorder="1" applyAlignment="1">
      <alignment horizontal="left" vertical="top"/>
    </xf>
    <xf numFmtId="0" fontId="9" fillId="0" borderId="1" xfId="4" applyFont="1" applyBorder="1" applyAlignment="1">
      <alignment horizontal="left" vertical="top" wrapText="1"/>
    </xf>
    <xf numFmtId="0" fontId="9" fillId="0" borderId="0" xfId="4" applyFont="1" applyAlignment="1">
      <alignment wrapText="1"/>
    </xf>
    <xf numFmtId="0" fontId="9" fillId="0" borderId="0" xfId="0" applyFont="1" applyAlignment="1">
      <alignment vertical="top" wrapText="1"/>
    </xf>
    <xf numFmtId="0" fontId="12" fillId="0" borderId="0" xfId="0" applyFont="1" applyAlignment="1">
      <alignment vertical="top"/>
    </xf>
    <xf numFmtId="0" fontId="9" fillId="0" borderId="0" xfId="0" applyFont="1" applyAlignment="1">
      <alignment horizontal="left" vertical="top" wrapText="1"/>
    </xf>
    <xf numFmtId="0" fontId="9" fillId="0" borderId="0" xfId="0" applyFont="1" applyAlignment="1">
      <alignment horizontal="left" vertical="top"/>
    </xf>
    <xf numFmtId="0" fontId="15" fillId="0" borderId="0" xfId="0" applyFont="1" applyAlignment="1">
      <alignment vertical="top"/>
    </xf>
    <xf numFmtId="0" fontId="8" fillId="0" borderId="0" xfId="0" applyFont="1" applyAlignment="1">
      <alignment horizontal="left" vertical="top" wrapText="1"/>
    </xf>
    <xf numFmtId="0" fontId="8" fillId="0" borderId="0" xfId="0" applyFont="1" applyAlignment="1">
      <alignment vertical="top"/>
    </xf>
    <xf numFmtId="0" fontId="8" fillId="0" borderId="0" xfId="0" applyFont="1" applyAlignment="1">
      <alignment vertical="top" wrapText="1"/>
    </xf>
    <xf numFmtId="0" fontId="8" fillId="0" borderId="1" xfId="0" applyFont="1" applyBorder="1" applyAlignment="1">
      <alignment horizontal="left" vertical="top" wrapText="1"/>
    </xf>
    <xf numFmtId="0" fontId="14" fillId="6" borderId="0" xfId="0" applyFont="1" applyFill="1" applyAlignment="1">
      <alignment horizontal="center" vertical="top"/>
    </xf>
    <xf numFmtId="0" fontId="7" fillId="6" borderId="0" xfId="2" applyFill="1" applyBorder="1" applyAlignment="1">
      <alignment vertical="top"/>
    </xf>
    <xf numFmtId="0" fontId="8" fillId="6" borderId="0" xfId="0" applyFont="1" applyFill="1" applyAlignment="1">
      <alignment horizontal="left" vertical="top"/>
    </xf>
    <xf numFmtId="0" fontId="7" fillId="6" borderId="0" xfId="2" applyFill="1" applyBorder="1" applyAlignment="1">
      <alignment horizontal="left" vertical="top"/>
    </xf>
    <xf numFmtId="0" fontId="8" fillId="6" borderId="0" xfId="0" applyFont="1" applyFill="1" applyAlignment="1">
      <alignment vertical="top"/>
    </xf>
    <xf numFmtId="0" fontId="11" fillId="0" borderId="0" xfId="0" applyFont="1" applyAlignment="1">
      <alignment vertical="center" wrapText="1"/>
    </xf>
    <xf numFmtId="0" fontId="11" fillId="6" borderId="0" xfId="0" applyFont="1" applyFill="1" applyAlignment="1">
      <alignment vertical="center"/>
    </xf>
    <xf numFmtId="0" fontId="11" fillId="0" borderId="0" xfId="0" applyFont="1" applyAlignment="1">
      <alignment vertical="center"/>
    </xf>
    <xf numFmtId="0" fontId="11" fillId="6" borderId="0" xfId="0" applyFont="1" applyFill="1" applyAlignment="1">
      <alignment vertical="top"/>
    </xf>
    <xf numFmtId="0" fontId="13" fillId="6" borderId="0" xfId="0" applyFont="1" applyFill="1" applyAlignment="1">
      <alignment vertical="top"/>
    </xf>
    <xf numFmtId="0" fontId="9" fillId="6" borderId="0" xfId="0" applyFont="1" applyFill="1" applyAlignment="1">
      <alignment vertical="center" wrapText="1"/>
    </xf>
    <xf numFmtId="0" fontId="11" fillId="6" borderId="0" xfId="0" applyFont="1" applyFill="1" applyAlignment="1">
      <alignment vertical="center" wrapText="1"/>
    </xf>
    <xf numFmtId="0" fontId="9" fillId="6" borderId="0" xfId="0" applyFont="1" applyFill="1" applyAlignment="1">
      <alignment vertical="top" wrapText="1"/>
    </xf>
    <xf numFmtId="0" fontId="8" fillId="7" borderId="5" xfId="2" applyFont="1" applyFill="1" applyBorder="1" applyAlignment="1">
      <alignment horizontal="center"/>
    </xf>
    <xf numFmtId="0" fontId="13" fillId="6" borderId="3" xfId="0" applyFont="1" applyFill="1" applyBorder="1" applyAlignment="1">
      <alignment horizontal="left" vertical="top" wrapText="1"/>
    </xf>
    <xf numFmtId="0" fontId="3" fillId="6" borderId="0" xfId="4" applyFill="1"/>
    <xf numFmtId="0" fontId="3" fillId="6" borderId="2" xfId="4" applyFill="1" applyBorder="1"/>
    <xf numFmtId="0" fontId="3" fillId="6" borderId="4" xfId="4" applyFill="1" applyBorder="1"/>
    <xf numFmtId="0" fontId="3" fillId="0" borderId="1" xfId="4" applyBorder="1"/>
    <xf numFmtId="0" fontId="3" fillId="0" borderId="1" xfId="4" applyBorder="1" applyAlignment="1">
      <alignment wrapText="1"/>
    </xf>
    <xf numFmtId="0" fontId="2" fillId="0" borderId="1" xfId="4" applyFont="1" applyBorder="1"/>
    <xf numFmtId="0" fontId="8" fillId="8" borderId="1" xfId="2" applyFont="1" applyFill="1" applyBorder="1" applyAlignment="1">
      <alignment horizontal="center" vertical="center" wrapText="1"/>
    </xf>
    <xf numFmtId="0" fontId="9" fillId="0" borderId="1" xfId="0" applyFont="1" applyBorder="1" applyAlignment="1">
      <alignment horizontal="left" vertical="top" wrapText="1"/>
    </xf>
    <xf numFmtId="0" fontId="8" fillId="0" borderId="0" xfId="0" applyFont="1" applyAlignment="1">
      <alignment horizontal="left" vertical="top"/>
    </xf>
    <xf numFmtId="0" fontId="0" fillId="0" borderId="0" xfId="0" applyAlignment="1">
      <alignment horizontal="left" vertical="top"/>
    </xf>
    <xf numFmtId="0" fontId="18" fillId="0" borderId="7" xfId="4" applyFont="1" applyBorder="1"/>
    <xf numFmtId="0" fontId="9" fillId="10" borderId="0" xfId="4" applyFont="1" applyFill="1"/>
    <xf numFmtId="0" fontId="3" fillId="0" borderId="1" xfId="4" applyBorder="1" applyAlignment="1">
      <alignment horizontal="left" vertical="top"/>
    </xf>
    <xf numFmtId="0" fontId="8" fillId="7" borderId="1" xfId="2" applyFont="1" applyFill="1" applyBorder="1" applyAlignment="1">
      <alignment horizontal="center" vertical="center" wrapText="1"/>
    </xf>
    <xf numFmtId="0" fontId="8" fillId="7" borderId="3" xfId="2" applyFont="1" applyFill="1" applyBorder="1" applyAlignment="1">
      <alignment horizontal="center" vertical="center" wrapText="1"/>
    </xf>
    <xf numFmtId="0" fontId="13" fillId="0" borderId="0" xfId="0" applyFont="1" applyAlignment="1">
      <alignment vertical="top"/>
    </xf>
    <xf numFmtId="0" fontId="7" fillId="0" borderId="0" xfId="2" applyFill="1" applyBorder="1" applyAlignment="1">
      <alignment vertical="top"/>
    </xf>
    <xf numFmtId="0" fontId="8" fillId="0" borderId="0" xfId="2" applyFont="1" applyFill="1" applyBorder="1" applyAlignment="1">
      <alignment horizontal="center" vertical="center"/>
    </xf>
    <xf numFmtId="49" fontId="8" fillId="0" borderId="0" xfId="0" applyNumberFormat="1" applyFont="1" applyAlignment="1">
      <alignment horizontal="center" vertical="top"/>
    </xf>
    <xf numFmtId="14" fontId="8" fillId="0" borderId="0" xfId="0" applyNumberFormat="1" applyFont="1" applyAlignment="1">
      <alignment vertical="top"/>
    </xf>
    <xf numFmtId="0" fontId="7" fillId="2" borderId="0" xfId="1" applyBorder="1" applyAlignment="1">
      <alignment horizontal="left" vertical="top"/>
    </xf>
    <xf numFmtId="166" fontId="8" fillId="0" borderId="1" xfId="0" applyNumberFormat="1" applyFont="1" applyBorder="1" applyAlignment="1">
      <alignment horizontal="center" vertical="top"/>
    </xf>
    <xf numFmtId="0" fontId="9" fillId="0" borderId="2" xfId="0" applyFont="1" applyBorder="1" applyAlignment="1">
      <alignment wrapText="1"/>
    </xf>
    <xf numFmtId="0" fontId="8" fillId="0" borderId="0" xfId="5" applyFont="1" applyFill="1" applyBorder="1" applyAlignment="1">
      <alignment horizontal="left" vertical="top" wrapText="1" indent="1"/>
    </xf>
    <xf numFmtId="0" fontId="8" fillId="0" borderId="0" xfId="5" applyFont="1" applyFill="1" applyBorder="1" applyAlignment="1">
      <alignment horizontal="right" vertical="top" wrapText="1"/>
    </xf>
    <xf numFmtId="165" fontId="8" fillId="0" borderId="0" xfId="5" applyNumberFormat="1" applyFont="1" applyFill="1" applyBorder="1" applyAlignment="1">
      <alignment horizontal="right" vertical="top" wrapText="1"/>
    </xf>
    <xf numFmtId="0" fontId="8" fillId="0" borderId="0" xfId="5" applyFont="1" applyFill="1" applyBorder="1" applyAlignment="1">
      <alignment vertical="top" wrapText="1"/>
    </xf>
    <xf numFmtId="0" fontId="8" fillId="0" borderId="0" xfId="0" applyFont="1" applyAlignment="1">
      <alignment horizontal="left" vertical="top" wrapText="1" indent="1"/>
    </xf>
    <xf numFmtId="0" fontId="8" fillId="0" borderId="0" xfId="0" applyFont="1" applyAlignment="1">
      <alignment horizontal="right" vertical="top" wrapText="1"/>
    </xf>
    <xf numFmtId="0" fontId="7" fillId="5" borderId="0" xfId="1" applyFill="1" applyBorder="1" applyAlignment="1" applyProtection="1">
      <alignment horizontal="left" vertical="top" wrapText="1"/>
    </xf>
    <xf numFmtId="0" fontId="7" fillId="5" borderId="0" xfId="1" applyFill="1" applyBorder="1" applyAlignment="1" applyProtection="1">
      <alignment horizontal="right" vertical="top" wrapText="1"/>
      <protection locked="0"/>
    </xf>
    <xf numFmtId="0" fontId="7" fillId="5" borderId="0" xfId="1" applyFill="1" applyBorder="1" applyAlignment="1" applyProtection="1">
      <alignment horizontal="center" vertical="top" wrapText="1"/>
    </xf>
    <xf numFmtId="165" fontId="8" fillId="0" borderId="0" xfId="0" applyNumberFormat="1" applyFont="1" applyAlignment="1">
      <alignment horizontal="right" vertical="top" wrapText="1"/>
    </xf>
    <xf numFmtId="0" fontId="8" fillId="7" borderId="0" xfId="2" applyFont="1" applyFill="1" applyBorder="1" applyAlignment="1">
      <alignment horizontal="center" wrapText="1"/>
    </xf>
    <xf numFmtId="0" fontId="8" fillId="7" borderId="8" xfId="2" applyFont="1" applyFill="1" applyBorder="1" applyAlignment="1">
      <alignment horizontal="center" wrapText="1"/>
    </xf>
    <xf numFmtId="0" fontId="0" fillId="11" borderId="8" xfId="0" applyFill="1" applyBorder="1" applyAlignment="1">
      <alignment horizontal="center" wrapText="1"/>
    </xf>
    <xf numFmtId="0" fontId="18" fillId="0" borderId="0" xfId="0" applyFont="1"/>
    <xf numFmtId="0" fontId="8" fillId="7" borderId="0" xfId="2" applyFont="1" applyFill="1" applyAlignment="1">
      <alignment horizontal="center" wrapText="1"/>
    </xf>
    <xf numFmtId="0" fontId="7" fillId="5" borderId="1" xfId="2" applyFill="1" applyBorder="1" applyAlignment="1">
      <alignment vertical="top" wrapText="1"/>
    </xf>
    <xf numFmtId="0" fontId="21" fillId="0" borderId="0" xfId="0" applyFont="1" applyAlignment="1">
      <alignment vertical="top"/>
    </xf>
    <xf numFmtId="0" fontId="7" fillId="9" borderId="1" xfId="2" applyFill="1" applyBorder="1" applyAlignment="1">
      <alignment vertical="top" wrapText="1"/>
    </xf>
    <xf numFmtId="0" fontId="8" fillId="0" borderId="3" xfId="0" applyFont="1" applyBorder="1" applyAlignment="1">
      <alignment horizontal="left" vertical="top"/>
    </xf>
    <xf numFmtId="0" fontId="0" fillId="0" borderId="2" xfId="0" applyBorder="1" applyAlignment="1">
      <alignment vertical="top"/>
    </xf>
    <xf numFmtId="0" fontId="0" fillId="0" borderId="4" xfId="0" applyBorder="1" applyAlignment="1">
      <alignment vertical="top"/>
    </xf>
    <xf numFmtId="0" fontId="8" fillId="0" borderId="3" xfId="0" applyFont="1" applyBorder="1" applyAlignment="1">
      <alignment vertical="top"/>
    </xf>
    <xf numFmtId="0" fontId="8" fillId="0" borderId="3" xfId="0" applyFont="1" applyBorder="1" applyAlignment="1">
      <alignment horizontal="left" vertical="top" wrapText="1"/>
    </xf>
    <xf numFmtId="0" fontId="7" fillId="5" borderId="1" xfId="2" applyFill="1" applyBorder="1" applyAlignment="1">
      <alignment horizontal="left" vertical="top"/>
    </xf>
    <xf numFmtId="0" fontId="8" fillId="0" borderId="1" xfId="0" applyFont="1" applyBorder="1" applyAlignment="1">
      <alignment horizontal="left" vertical="top"/>
    </xf>
    <xf numFmtId="0" fontId="7" fillId="5" borderId="3" xfId="2" applyFill="1" applyBorder="1" applyAlignment="1">
      <alignment vertical="top"/>
    </xf>
    <xf numFmtId="0" fontId="16" fillId="0" borderId="4" xfId="0" applyFont="1" applyBorder="1"/>
    <xf numFmtId="0" fontId="7" fillId="5" borderId="4" xfId="2" applyFill="1" applyBorder="1" applyAlignment="1">
      <alignment vertical="top"/>
    </xf>
    <xf numFmtId="0" fontId="9" fillId="7" borderId="0" xfId="0" applyFont="1" applyFill="1" applyAlignment="1">
      <alignment horizontal="left" vertical="top" indent="2"/>
    </xf>
    <xf numFmtId="0" fontId="22" fillId="12" borderId="1" xfId="0" applyFont="1" applyFill="1" applyBorder="1" applyAlignment="1">
      <alignment vertical="top"/>
    </xf>
    <xf numFmtId="0" fontId="9" fillId="12" borderId="1" xfId="0" applyFont="1" applyFill="1" applyBorder="1" applyAlignment="1">
      <alignment vertical="top"/>
    </xf>
    <xf numFmtId="0" fontId="7" fillId="12" borderId="5" xfId="0" applyFont="1" applyFill="1" applyBorder="1" applyAlignment="1">
      <alignment vertical="top"/>
    </xf>
    <xf numFmtId="0" fontId="8" fillId="13" borderId="5" xfId="0" applyFont="1" applyFill="1" applyBorder="1" applyAlignment="1">
      <alignment horizontal="left" vertical="top"/>
    </xf>
    <xf numFmtId="0" fontId="8" fillId="13" borderId="5" xfId="0" applyFont="1" applyFill="1" applyBorder="1" applyAlignment="1">
      <alignment horizontal="left" vertical="top" wrapText="1"/>
    </xf>
    <xf numFmtId="0" fontId="0" fillId="13" borderId="5" xfId="0" applyFill="1" applyBorder="1" applyAlignment="1">
      <alignment vertical="top"/>
    </xf>
    <xf numFmtId="0" fontId="8" fillId="13" borderId="5" xfId="0" applyFont="1" applyFill="1" applyBorder="1" applyAlignment="1">
      <alignment vertical="top"/>
    </xf>
    <xf numFmtId="0" fontId="8" fillId="14" borderId="5" xfId="0" applyFont="1" applyFill="1" applyBorder="1" applyAlignment="1">
      <alignment horizontal="left" vertical="top" wrapText="1"/>
    </xf>
    <xf numFmtId="0" fontId="8" fillId="14" borderId="5" xfId="0" applyFont="1" applyFill="1" applyBorder="1" applyAlignment="1">
      <alignment horizontal="left" vertical="top"/>
    </xf>
    <xf numFmtId="0" fontId="0" fillId="14" borderId="5" xfId="0" applyFill="1" applyBorder="1" applyAlignment="1">
      <alignment vertical="top"/>
    </xf>
    <xf numFmtId="0" fontId="8" fillId="14" borderId="5" xfId="0" applyFont="1" applyFill="1" applyBorder="1" applyAlignment="1">
      <alignment vertical="top"/>
    </xf>
    <xf numFmtId="0" fontId="9" fillId="14" borderId="1" xfId="0" applyFont="1" applyFill="1" applyBorder="1" applyAlignment="1">
      <alignment vertical="top"/>
    </xf>
    <xf numFmtId="0" fontId="9" fillId="14" borderId="5" xfId="0" applyFont="1" applyFill="1" applyBorder="1" applyAlignment="1">
      <alignment vertical="top"/>
    </xf>
    <xf numFmtId="0" fontId="9" fillId="13" borderId="5" xfId="0" applyFont="1" applyFill="1" applyBorder="1" applyAlignment="1">
      <alignment vertical="top"/>
    </xf>
    <xf numFmtId="166" fontId="23" fillId="0" borderId="1" xfId="0" applyNumberFormat="1" applyFont="1" applyBorder="1" applyAlignment="1">
      <alignment horizontal="center" vertical="top"/>
    </xf>
    <xf numFmtId="0" fontId="8" fillId="0" borderId="1" xfId="0" applyFont="1" applyBorder="1" applyAlignment="1">
      <alignment horizontal="center" vertical="top" wrapText="1"/>
    </xf>
    <xf numFmtId="164" fontId="8" fillId="0" borderId="1" xfId="0" applyNumberFormat="1" applyFont="1" applyBorder="1" applyAlignment="1">
      <alignment horizontal="center" vertical="top"/>
    </xf>
    <xf numFmtId="0" fontId="23" fillId="14" borderId="5" xfId="0" applyFont="1" applyFill="1" applyBorder="1" applyAlignment="1">
      <alignment vertical="top"/>
    </xf>
    <xf numFmtId="0" fontId="1" fillId="14" borderId="5" xfId="0" applyFont="1" applyFill="1" applyBorder="1" applyAlignment="1">
      <alignment vertical="top"/>
    </xf>
    <xf numFmtId="0" fontId="9"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top"/>
    </xf>
    <xf numFmtId="0" fontId="9" fillId="6" borderId="0" xfId="0" applyFont="1" applyFill="1" applyAlignment="1">
      <alignment horizontal="center" vertical="top"/>
    </xf>
    <xf numFmtId="0" fontId="7" fillId="2" borderId="0" xfId="1" applyBorder="1" applyAlignment="1">
      <alignment horizontal="center" vertical="top"/>
    </xf>
    <xf numFmtId="0" fontId="23" fillId="14" borderId="1" xfId="0" applyFont="1" applyFill="1" applyBorder="1" applyAlignment="1">
      <alignment horizontal="center" vertical="top"/>
    </xf>
    <xf numFmtId="0" fontId="23" fillId="14" borderId="1" xfId="0" applyFont="1" applyFill="1" applyBorder="1" applyAlignment="1">
      <alignment vertical="top"/>
    </xf>
    <xf numFmtId="0" fontId="25" fillId="0" borderId="0" xfId="0" applyFont="1" applyAlignment="1">
      <alignment vertical="top"/>
    </xf>
    <xf numFmtId="0" fontId="25" fillId="0" borderId="1" xfId="0" applyFont="1" applyBorder="1" applyAlignment="1">
      <alignment vertical="top"/>
    </xf>
    <xf numFmtId="0" fontId="1" fillId="14" borderId="5" xfId="0" applyFont="1" applyFill="1" applyBorder="1" applyAlignment="1">
      <alignment horizontal="left" vertical="top"/>
    </xf>
    <xf numFmtId="0" fontId="23" fillId="6" borderId="1" xfId="0" applyFont="1" applyFill="1" applyBorder="1" applyAlignment="1">
      <alignment horizontal="left" vertical="top" wrapText="1"/>
    </xf>
    <xf numFmtId="0" fontId="23" fillId="6" borderId="1" xfId="0" applyFont="1" applyFill="1" applyBorder="1" applyAlignment="1">
      <alignment horizontal="left" vertical="top"/>
    </xf>
    <xf numFmtId="0" fontId="23" fillId="14" borderId="1" xfId="0" applyFont="1" applyFill="1" applyBorder="1" applyAlignment="1">
      <alignment horizontal="left" vertical="top"/>
    </xf>
    <xf numFmtId="0" fontId="8" fillId="13" borderId="5" xfId="0" applyFont="1" applyFill="1" applyBorder="1" applyAlignment="1">
      <alignment horizontal="center" vertical="top"/>
    </xf>
    <xf numFmtId="0" fontId="8" fillId="14" borderId="5" xfId="0" applyFont="1" applyFill="1" applyBorder="1" applyAlignment="1">
      <alignment horizontal="center" vertical="top" wrapText="1"/>
    </xf>
    <xf numFmtId="0" fontId="8" fillId="14" borderId="5" xfId="0" applyFont="1" applyFill="1" applyBorder="1" applyAlignment="1">
      <alignment horizontal="center" vertical="top"/>
    </xf>
    <xf numFmtId="0" fontId="23" fillId="6" borderId="1" xfId="0" applyFont="1" applyFill="1" applyBorder="1" applyAlignment="1">
      <alignment horizontal="center" vertical="top"/>
    </xf>
    <xf numFmtId="0" fontId="25" fillId="0" borderId="1" xfId="4" applyFont="1" applyBorder="1" applyAlignment="1">
      <alignment horizontal="left" vertical="top"/>
    </xf>
    <xf numFmtId="0" fontId="25" fillId="0" borderId="1" xfId="4" applyFont="1" applyBorder="1" applyAlignment="1">
      <alignment horizontal="left" vertical="top" wrapText="1"/>
    </xf>
    <xf numFmtId="0" fontId="8" fillId="0" borderId="0" xfId="0" applyFont="1" applyAlignment="1">
      <alignment horizontal="center" vertical="top"/>
    </xf>
    <xf numFmtId="0" fontId="11" fillId="0" borderId="0" xfId="0" applyFont="1" applyAlignment="1">
      <alignment horizontal="center" vertical="top"/>
    </xf>
    <xf numFmtId="0" fontId="11" fillId="6" borderId="0" xfId="0" applyFont="1" applyFill="1" applyAlignment="1">
      <alignment horizontal="center" vertical="top"/>
    </xf>
    <xf numFmtId="0" fontId="9" fillId="0" borderId="1" xfId="4" applyFont="1" applyBorder="1" applyAlignment="1">
      <alignment horizontal="center" vertical="top"/>
    </xf>
    <xf numFmtId="0" fontId="9" fillId="0" borderId="0" xfId="4" applyFont="1" applyAlignment="1">
      <alignment horizontal="center" vertical="top"/>
    </xf>
    <xf numFmtId="0" fontId="23" fillId="0" borderId="1" xfId="0" applyFont="1" applyBorder="1" applyAlignment="1">
      <alignment horizontal="center" vertical="top" wrapText="1"/>
    </xf>
    <xf numFmtId="0" fontId="25" fillId="0" borderId="1" xfId="4" applyFont="1" applyBorder="1" applyAlignment="1">
      <alignment horizontal="center" vertical="top"/>
    </xf>
    <xf numFmtId="0" fontId="25" fillId="0" borderId="1" xfId="4" quotePrefix="1" applyFont="1" applyBorder="1" applyAlignment="1">
      <alignment horizontal="center" vertical="top"/>
    </xf>
    <xf numFmtId="0" fontId="25" fillId="0" borderId="1" xfId="4" applyFont="1" applyBorder="1" applyAlignment="1">
      <alignment horizontal="center" vertical="top" wrapText="1"/>
    </xf>
    <xf numFmtId="0" fontId="9" fillId="0" borderId="0" xfId="0" applyFont="1" applyAlignment="1">
      <alignment horizontal="left" vertical="center"/>
    </xf>
    <xf numFmtId="0" fontId="11" fillId="0" borderId="0" xfId="0" applyFont="1" applyAlignment="1">
      <alignment horizontal="left" vertical="center"/>
    </xf>
    <xf numFmtId="0" fontId="9" fillId="6" borderId="0" xfId="0" applyFont="1" applyFill="1" applyAlignment="1">
      <alignment horizontal="left" vertical="top"/>
    </xf>
    <xf numFmtId="0" fontId="23" fillId="15" borderId="1" xfId="0" applyFont="1" applyFill="1" applyBorder="1" applyAlignment="1">
      <alignment horizontal="left" vertical="top"/>
    </xf>
    <xf numFmtId="0" fontId="23" fillId="15" borderId="1" xfId="0" applyFont="1" applyFill="1" applyBorder="1" applyAlignment="1">
      <alignment horizontal="left" vertical="top" wrapText="1"/>
    </xf>
    <xf numFmtId="0" fontId="25" fillId="15" borderId="1" xfId="0" applyFont="1" applyFill="1" applyBorder="1" applyAlignment="1">
      <alignment vertical="top"/>
    </xf>
    <xf numFmtId="0" fontId="23" fillId="15" borderId="1" xfId="0" applyFont="1" applyFill="1" applyBorder="1" applyAlignment="1">
      <alignment horizontal="center" vertical="top"/>
    </xf>
    <xf numFmtId="0" fontId="25" fillId="6" borderId="1" xfId="0" applyFont="1" applyFill="1" applyBorder="1" applyAlignment="1">
      <alignment vertical="top"/>
    </xf>
    <xf numFmtId="0" fontId="23" fillId="14" borderId="1" xfId="0" applyFont="1" applyFill="1" applyBorder="1" applyAlignment="1">
      <alignment horizontal="left" vertical="top" wrapText="1"/>
    </xf>
    <xf numFmtId="0" fontId="25" fillId="14" borderId="1" xfId="0" applyFont="1" applyFill="1" applyBorder="1" applyAlignment="1">
      <alignment vertical="top"/>
    </xf>
    <xf numFmtId="0" fontId="8" fillId="14" borderId="1" xfId="0" applyFont="1" applyFill="1" applyBorder="1" applyAlignment="1">
      <alignment vertical="top"/>
    </xf>
    <xf numFmtId="167" fontId="25" fillId="0" borderId="1" xfId="4" applyNumberFormat="1" applyFont="1" applyBorder="1" applyAlignment="1">
      <alignment horizontal="center" vertical="top" wrapText="1"/>
    </xf>
    <xf numFmtId="168" fontId="25" fillId="0" borderId="1" xfId="4" applyNumberFormat="1" applyFont="1" applyBorder="1" applyAlignment="1">
      <alignment horizontal="center" vertical="top" wrapText="1"/>
    </xf>
    <xf numFmtId="168" fontId="8" fillId="0" borderId="1" xfId="0" applyNumberFormat="1" applyFont="1" applyBorder="1" applyAlignment="1">
      <alignment horizontal="center" vertical="top" wrapText="1"/>
    </xf>
    <xf numFmtId="168" fontId="23" fillId="0" borderId="4" xfId="0" applyNumberFormat="1" applyFont="1" applyBorder="1" applyAlignment="1">
      <alignment horizontal="center" vertical="top" wrapText="1"/>
    </xf>
    <xf numFmtId="0" fontId="8" fillId="7" borderId="5" xfId="2" applyFont="1" applyFill="1" applyBorder="1" applyAlignment="1">
      <alignment horizontal="center" wrapText="1"/>
    </xf>
    <xf numFmtId="0" fontId="23" fillId="14" borderId="1" xfId="0" applyFont="1" applyFill="1" applyBorder="1" applyAlignment="1">
      <alignment vertical="top" wrapText="1"/>
    </xf>
    <xf numFmtId="0" fontId="7" fillId="2" borderId="6" xfId="1" applyBorder="1" applyAlignment="1"/>
    <xf numFmtId="0" fontId="7" fillId="2" borderId="7" xfId="1" applyBorder="1" applyAlignment="1"/>
    <xf numFmtId="0" fontId="7" fillId="2" borderId="6" xfId="1" applyBorder="1" applyAlignment="1">
      <alignment vertical="top"/>
    </xf>
    <xf numFmtId="0" fontId="7" fillId="2" borderId="7" xfId="1" applyBorder="1" applyAlignment="1">
      <alignment vertical="top"/>
    </xf>
    <xf numFmtId="0" fontId="1" fillId="12" borderId="5" xfId="0" applyFont="1" applyFill="1" applyBorder="1" applyAlignment="1">
      <alignment horizontal="left" vertical="top" wrapText="1"/>
    </xf>
    <xf numFmtId="0" fontId="1" fillId="12" borderId="5" xfId="0" applyFont="1" applyFill="1" applyBorder="1" applyAlignment="1">
      <alignment horizontal="left" vertical="top"/>
    </xf>
    <xf numFmtId="0" fontId="1" fillId="12" borderId="5" xfId="0" applyFont="1" applyFill="1" applyBorder="1" applyAlignment="1">
      <alignment vertical="top"/>
    </xf>
    <xf numFmtId="0" fontId="1" fillId="12" borderId="5" xfId="0" applyFont="1" applyFill="1" applyBorder="1" applyAlignment="1">
      <alignment horizontal="center" vertical="top"/>
    </xf>
    <xf numFmtId="0" fontId="1" fillId="13" borderId="5" xfId="0" applyFont="1" applyFill="1" applyBorder="1" applyAlignment="1">
      <alignment vertical="top"/>
    </xf>
    <xf numFmtId="0" fontId="1" fillId="13" borderId="5" xfId="0" applyFont="1" applyFill="1" applyBorder="1" applyAlignment="1">
      <alignment horizontal="left" vertical="top"/>
    </xf>
    <xf numFmtId="0" fontId="1" fillId="13" borderId="5" xfId="0" applyFont="1" applyFill="1" applyBorder="1" applyAlignment="1">
      <alignment horizontal="left" vertical="top" wrapText="1"/>
    </xf>
    <xf numFmtId="0" fontId="1" fillId="13" borderId="5" xfId="0" applyFont="1" applyFill="1" applyBorder="1" applyAlignment="1">
      <alignment horizontal="center" vertical="top"/>
    </xf>
    <xf numFmtId="0" fontId="1" fillId="14" borderId="5" xfId="0" applyFont="1" applyFill="1" applyBorder="1" applyAlignment="1">
      <alignment horizontal="left" vertical="top" wrapText="1"/>
    </xf>
    <xf numFmtId="0" fontId="1" fillId="14" borderId="5" xfId="0" applyFont="1" applyFill="1" applyBorder="1" applyAlignment="1">
      <alignment horizontal="center" vertical="top"/>
    </xf>
    <xf numFmtId="0" fontId="1" fillId="14" borderId="5" xfId="0" applyFont="1" applyFill="1" applyBorder="1" applyAlignment="1">
      <alignment vertical="top" wrapText="1"/>
    </xf>
    <xf numFmtId="0" fontId="1" fillId="15" borderId="5" xfId="0" applyFont="1" applyFill="1" applyBorder="1" applyAlignment="1">
      <alignment horizontal="left" vertical="top" wrapText="1"/>
    </xf>
    <xf numFmtId="0" fontId="1" fillId="13" borderId="5" xfId="0" applyFont="1" applyFill="1" applyBorder="1" applyAlignment="1">
      <alignment vertical="top" wrapText="1"/>
    </xf>
    <xf numFmtId="0" fontId="1" fillId="6" borderId="5" xfId="0" applyFont="1" applyFill="1" applyBorder="1" applyAlignment="1">
      <alignment vertical="top"/>
    </xf>
    <xf numFmtId="0" fontId="1" fillId="13" borderId="1" xfId="0" applyFont="1" applyFill="1" applyBorder="1" applyAlignment="1">
      <alignment vertical="top"/>
    </xf>
    <xf numFmtId="0" fontId="1" fillId="13" borderId="1" xfId="0" applyFont="1" applyFill="1" applyBorder="1" applyAlignment="1">
      <alignment horizontal="left" vertical="top"/>
    </xf>
    <xf numFmtId="0" fontId="1" fillId="13" borderId="1" xfId="0" applyFont="1" applyFill="1" applyBorder="1" applyAlignment="1">
      <alignment horizontal="left" vertical="top" wrapText="1"/>
    </xf>
    <xf numFmtId="0" fontId="1" fillId="13" borderId="1" xfId="0" applyFont="1" applyFill="1" applyBorder="1" applyAlignment="1">
      <alignment horizontal="center" vertical="top"/>
    </xf>
    <xf numFmtId="0" fontId="8" fillId="14" borderId="1" xfId="0" applyFont="1" applyFill="1" applyBorder="1" applyAlignment="1">
      <alignment horizontal="left" vertical="top" wrapText="1"/>
    </xf>
    <xf numFmtId="0" fontId="8" fillId="14" borderId="1" xfId="0" applyFont="1" applyFill="1" applyBorder="1" applyAlignment="1">
      <alignment horizontal="left" vertical="top"/>
    </xf>
    <xf numFmtId="0" fontId="8" fillId="14" borderId="1" xfId="0" applyFont="1" applyFill="1" applyBorder="1" applyAlignment="1">
      <alignment horizontal="center"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7" fillId="2" borderId="3" xfId="1" applyBorder="1" applyAlignment="1">
      <alignment horizontal="left" vertical="top"/>
    </xf>
    <xf numFmtId="0" fontId="7" fillId="2" borderId="2" xfId="1" applyBorder="1" applyAlignment="1">
      <alignment horizontal="left" vertical="top"/>
    </xf>
    <xf numFmtId="0" fontId="7" fillId="2" borderId="4" xfId="1" applyBorder="1" applyAlignment="1">
      <alignment horizontal="left" vertical="top"/>
    </xf>
    <xf numFmtId="0" fontId="23" fillId="0" borderId="3" xfId="0" applyFont="1" applyBorder="1" applyAlignment="1">
      <alignment vertical="top"/>
    </xf>
    <xf numFmtId="0" fontId="23" fillId="0" borderId="2" xfId="0" applyFont="1" applyBorder="1" applyAlignment="1">
      <alignment vertical="top"/>
    </xf>
    <xf numFmtId="0" fontId="23" fillId="0" borderId="4" xfId="0" applyFont="1" applyBorder="1" applyAlignment="1">
      <alignment vertical="top"/>
    </xf>
    <xf numFmtId="0" fontId="8" fillId="0" borderId="3" xfId="0" applyFont="1" applyBorder="1" applyAlignment="1">
      <alignment horizontal="left" vertical="top"/>
    </xf>
    <xf numFmtId="0" fontId="0" fillId="0" borderId="4" xfId="0" applyBorder="1" applyAlignment="1">
      <alignment vertical="top"/>
    </xf>
    <xf numFmtId="0" fontId="7" fillId="5" borderId="1" xfId="2" applyFill="1" applyBorder="1" applyAlignment="1">
      <alignment horizontal="left" vertical="top"/>
    </xf>
    <xf numFmtId="0" fontId="8" fillId="7" borderId="1" xfId="2" applyFont="1" applyFill="1" applyBorder="1" applyAlignment="1">
      <alignment horizontal="center" vertical="center"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8" fillId="0" borderId="4" xfId="0" applyFont="1" applyBorder="1" applyAlignment="1">
      <alignment horizontal="left" vertical="top" wrapText="1"/>
    </xf>
    <xf numFmtId="49" fontId="8" fillId="0" borderId="3" xfId="0" quotePrefix="1" applyNumberFormat="1" applyFont="1" applyBorder="1" applyAlignment="1">
      <alignment horizontal="left" vertical="top"/>
    </xf>
    <xf numFmtId="49" fontId="0" fillId="0" borderId="4" xfId="0" applyNumberFormat="1" applyBorder="1" applyAlignment="1">
      <alignment vertical="top"/>
    </xf>
    <xf numFmtId="0" fontId="0" fillId="0" borderId="2" xfId="0" applyBorder="1" applyAlignment="1">
      <alignment vertical="top"/>
    </xf>
    <xf numFmtId="0" fontId="8" fillId="0" borderId="1" xfId="0" applyFont="1" applyBorder="1" applyAlignment="1">
      <alignment horizontal="left" vertical="top"/>
    </xf>
    <xf numFmtId="0" fontId="8" fillId="0" borderId="3" xfId="0" applyFont="1" applyBorder="1" applyAlignment="1">
      <alignment vertical="top"/>
    </xf>
    <xf numFmtId="0" fontId="3" fillId="0" borderId="2" xfId="0" applyFont="1" applyBorder="1" applyAlignment="1">
      <alignment vertical="top"/>
    </xf>
    <xf numFmtId="0" fontId="3" fillId="0" borderId="4" xfId="0" applyFont="1" applyBorder="1" applyAlignment="1">
      <alignment vertical="top"/>
    </xf>
    <xf numFmtId="0" fontId="8" fillId="7" borderId="1" xfId="2" applyFont="1" applyFill="1" applyBorder="1" applyAlignment="1">
      <alignment horizontal="center" vertical="center"/>
    </xf>
    <xf numFmtId="0" fontId="8" fillId="0" borderId="4" xfId="0" applyFont="1" applyBorder="1"/>
    <xf numFmtId="0" fontId="23" fillId="0" borderId="2" xfId="0" applyFont="1"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24" fillId="0" borderId="2" xfId="0" applyFont="1" applyBorder="1" applyAlignment="1">
      <alignment horizontal="left" vertical="top" wrapText="1"/>
    </xf>
    <xf numFmtId="0" fontId="24" fillId="0" borderId="4" xfId="0" applyFont="1" applyBorder="1" applyAlignment="1">
      <alignment horizontal="left" vertical="top" wrapText="1"/>
    </xf>
    <xf numFmtId="0" fontId="23" fillId="0" borderId="3" xfId="0" applyFont="1" applyBorder="1" applyAlignment="1">
      <alignment horizontal="left" vertical="top"/>
    </xf>
    <xf numFmtId="0" fontId="24" fillId="0" borderId="4" xfId="0" applyFont="1" applyBorder="1" applyAlignment="1">
      <alignment vertical="top"/>
    </xf>
    <xf numFmtId="0" fontId="8" fillId="0" borderId="1" xfId="0" applyFont="1" applyBorder="1" applyAlignment="1">
      <alignment vertical="top"/>
    </xf>
    <xf numFmtId="0" fontId="0" fillId="0" borderId="2" xfId="0" applyBorder="1" applyAlignment="1">
      <alignment horizontal="left" vertical="top"/>
    </xf>
    <xf numFmtId="0" fontId="0" fillId="0" borderId="4" xfId="0" applyBorder="1" applyAlignment="1">
      <alignment horizontal="left" vertical="top"/>
    </xf>
    <xf numFmtId="0" fontId="24" fillId="0" borderId="2" xfId="0" applyFont="1" applyBorder="1" applyAlignment="1">
      <alignment vertical="top"/>
    </xf>
    <xf numFmtId="0" fontId="0" fillId="0" borderId="4" xfId="0" applyBorder="1"/>
    <xf numFmtId="0" fontId="7" fillId="12" borderId="1" xfId="5" applyFill="1" applyBorder="1" applyAlignment="1">
      <alignment horizontal="left" vertical="top"/>
    </xf>
    <xf numFmtId="0" fontId="0" fillId="12" borderId="1" xfId="0" applyFill="1" applyBorder="1" applyAlignment="1">
      <alignment horizontal="left" vertical="top"/>
    </xf>
    <xf numFmtId="49" fontId="8" fillId="0" borderId="3" xfId="0" applyNumberFormat="1" applyFont="1" applyBorder="1" applyAlignment="1">
      <alignment horizontal="left" vertical="top" wrapText="1"/>
    </xf>
    <xf numFmtId="49" fontId="0" fillId="0" borderId="4" xfId="0" applyNumberFormat="1" applyBorder="1"/>
    <xf numFmtId="0" fontId="16" fillId="0" borderId="4" xfId="0" applyFont="1" applyBorder="1"/>
    <xf numFmtId="0" fontId="8" fillId="0" borderId="4" xfId="0" applyFont="1" applyBorder="1" applyAlignment="1">
      <alignment horizontal="left" vertical="top"/>
    </xf>
    <xf numFmtId="0" fontId="7" fillId="2" borderId="6" xfId="1" applyBorder="1" applyAlignment="1">
      <alignment horizontal="left" vertical="top"/>
    </xf>
    <xf numFmtId="0" fontId="7" fillId="2" borderId="7" xfId="1" applyBorder="1" applyAlignment="1">
      <alignment horizontal="left" vertical="top"/>
    </xf>
    <xf numFmtId="0" fontId="8" fillId="0" borderId="0" xfId="0" applyFont="1" applyAlignment="1">
      <alignment horizontal="left" vertical="top" wrapText="1"/>
    </xf>
    <xf numFmtId="0" fontId="8" fillId="0" borderId="0" xfId="0" applyFont="1"/>
    <xf numFmtId="0" fontId="7" fillId="0" borderId="0" xfId="2" applyFill="1" applyBorder="1" applyAlignment="1">
      <alignment horizontal="left" vertical="top"/>
    </xf>
    <xf numFmtId="0" fontId="8" fillId="0" borderId="0" xfId="0" applyFont="1" applyAlignment="1">
      <alignment vertical="top"/>
    </xf>
    <xf numFmtId="0" fontId="0" fillId="0" borderId="0" xfId="0" applyAlignment="1">
      <alignment vertical="top"/>
    </xf>
    <xf numFmtId="0" fontId="8" fillId="0" borderId="0" xfId="0" applyFont="1" applyAlignment="1">
      <alignment horizontal="left" vertical="top"/>
    </xf>
    <xf numFmtId="0" fontId="0" fillId="0" borderId="0" xfId="0" applyAlignment="1">
      <alignment horizontal="left" vertical="top"/>
    </xf>
    <xf numFmtId="0" fontId="8" fillId="0" borderId="0" xfId="2" applyFont="1" applyFill="1" applyBorder="1" applyAlignment="1">
      <alignment horizontal="center" vertical="center"/>
    </xf>
    <xf numFmtId="0" fontId="8" fillId="0" borderId="0" xfId="2" applyFont="1" applyFill="1" applyBorder="1" applyAlignment="1">
      <alignment horizontal="center" vertical="center" wrapText="1"/>
    </xf>
    <xf numFmtId="0" fontId="0" fillId="0" borderId="0" xfId="0" applyAlignment="1">
      <alignment horizontal="left" vertical="top" wrapText="1"/>
    </xf>
    <xf numFmtId="0" fontId="7" fillId="0" borderId="0" xfId="1" applyFill="1" applyBorder="1" applyAlignment="1">
      <alignment horizontal="left" vertical="top"/>
    </xf>
    <xf numFmtId="0" fontId="8" fillId="0" borderId="0" xfId="0" applyFont="1" applyAlignment="1">
      <alignment vertical="top" wrapText="1"/>
    </xf>
    <xf numFmtId="0" fontId="0" fillId="0" borderId="7" xfId="0" applyBorder="1"/>
    <xf numFmtId="0" fontId="7" fillId="2" borderId="3" xfId="1" applyBorder="1" applyAlignment="1">
      <alignment horizontal="left"/>
    </xf>
    <xf numFmtId="0" fontId="7" fillId="2" borderId="2" xfId="1" applyBorder="1" applyAlignment="1">
      <alignment horizontal="left"/>
    </xf>
    <xf numFmtId="0" fontId="8" fillId="8" borderId="3" xfId="2" applyFont="1" applyFill="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9" fillId="0" borderId="3" xfId="4" applyFont="1" applyBorder="1" applyAlignment="1">
      <alignment horizontal="left" vertical="top" wrapText="1"/>
    </xf>
    <xf numFmtId="0" fontId="7" fillId="2" borderId="3" xfId="1" applyBorder="1" applyAlignment="1">
      <alignment horizontal="center"/>
    </xf>
    <xf numFmtId="0" fontId="7" fillId="2" borderId="2" xfId="1" applyBorder="1" applyAlignment="1">
      <alignment horizontal="center"/>
    </xf>
    <xf numFmtId="0" fontId="7" fillId="5" borderId="3" xfId="5" applyFill="1" applyBorder="1" applyAlignment="1">
      <alignment horizontal="left" vertical="top" wrapText="1"/>
    </xf>
    <xf numFmtId="0" fontId="0" fillId="0" borderId="2" xfId="0" applyBorder="1"/>
    <xf numFmtId="0" fontId="8" fillId="7" borderId="3" xfId="2" applyFont="1" applyFill="1" applyBorder="1" applyAlignment="1">
      <alignment horizontal="center" vertical="center" wrapText="1"/>
    </xf>
    <xf numFmtId="0" fontId="8" fillId="7" borderId="2" xfId="2" applyFont="1" applyFill="1" applyBorder="1" applyAlignment="1">
      <alignment horizontal="center" vertical="center" wrapText="1"/>
    </xf>
    <xf numFmtId="0" fontId="8" fillId="7" borderId="4" xfId="2" applyFont="1" applyFill="1" applyBorder="1" applyAlignment="1">
      <alignment horizontal="center" vertical="center" wrapText="1"/>
    </xf>
    <xf numFmtId="0" fontId="13" fillId="6" borderId="0" xfId="0" applyFont="1" applyFill="1" applyAlignment="1">
      <alignment horizontal="left" vertical="top" wrapText="1"/>
    </xf>
    <xf numFmtId="0" fontId="13" fillId="6" borderId="0" xfId="0" applyFont="1" applyFill="1" applyAlignment="1">
      <alignment vertical="top" wrapText="1"/>
    </xf>
    <xf numFmtId="0" fontId="7" fillId="0" borderId="3" xfId="5" applyFill="1" applyBorder="1" applyAlignment="1" applyProtection="1">
      <alignment horizontal="left" vertical="top" wrapText="1"/>
      <protection locked="0"/>
    </xf>
    <xf numFmtId="0" fontId="7" fillId="0" borderId="2" xfId="5" applyFill="1" applyBorder="1" applyAlignment="1" applyProtection="1">
      <alignment horizontal="left" vertical="top" wrapText="1"/>
      <protection locked="0"/>
    </xf>
    <xf numFmtId="0" fontId="7" fillId="0" borderId="4" xfId="5" applyFill="1" applyBorder="1" applyAlignment="1" applyProtection="1">
      <alignment horizontal="left" vertical="top" wrapText="1"/>
      <protection locked="0"/>
    </xf>
    <xf numFmtId="0" fontId="7" fillId="5" borderId="3" xfId="5" applyFill="1" applyBorder="1" applyAlignment="1" applyProtection="1">
      <alignment horizontal="left" vertical="top" wrapText="1"/>
    </xf>
    <xf numFmtId="0" fontId="7" fillId="5" borderId="2" xfId="5" applyFill="1" applyBorder="1" applyAlignment="1" applyProtection="1">
      <alignment horizontal="left" vertical="top" wrapText="1"/>
    </xf>
    <xf numFmtId="0" fontId="7" fillId="5" borderId="4" xfId="5" applyFill="1" applyBorder="1" applyAlignment="1" applyProtection="1">
      <alignment horizontal="left" vertical="top" wrapText="1"/>
    </xf>
  </cellXfs>
  <cellStyles count="6">
    <cellStyle name="Accent1" xfId="1" builtinId="29"/>
    <cellStyle name="Accent2" xfId="5" builtinId="33"/>
    <cellStyle name="Accent3" xfId="2" builtinId="37"/>
    <cellStyle name="Hyperlink 2" xfId="3" xr:uid="{00000000-0005-0000-0000-000003000000}"/>
    <cellStyle name="Normal" xfId="0" builtinId="0"/>
    <cellStyle name="Normal 2" xfId="4" xr:uid="{00000000-0005-0000-0000-000005000000}"/>
  </cellStyles>
  <dxfs count="50">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65" formatCode="0.0%"/>
      <fill>
        <patternFill patternType="none">
          <fgColor indexed="64"/>
          <bgColor indexed="65"/>
        </patternFill>
      </fill>
      <alignment horizontal="right"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scheme val="minor"/>
      </font>
      <numFmt numFmtId="165" formatCode="0.0%"/>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1" justifyLastLine="0" shrinkToFit="0" readingOrder="0"/>
      <border diagonalUp="0" diagonalDown="0" outline="0">
        <left/>
        <right/>
        <top/>
        <bottom/>
      </border>
    </dxf>
    <dxf>
      <fill>
        <patternFill patternType="solid">
          <fgColor indexed="64"/>
          <bgColor theme="3"/>
        </patternFill>
      </fill>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top style="thin">
          <color indexed="64"/>
        </top>
        <bottom/>
      </border>
    </dxf>
    <dxf>
      <fill>
        <patternFill patternType="solid">
          <fgColor indexed="64"/>
          <bgColor theme="0"/>
        </patternFill>
      </fill>
      <alignment horizontal="general"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theme="0"/>
        </patternFill>
      </fill>
      <alignment horizontal="general"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theme="0"/>
        </patternFill>
      </fill>
      <alignment horizontal="general"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0" tint="-0.14999847407452621"/>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center"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indexed="64"/>
          <bgColor rgb="FFFDDC59"/>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rgb="FFFDDC59"/>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0" tint="-0.14999847407452621"/>
        </patternFill>
      </fill>
      <alignment horizontal="center" vertical="bottom" textRotation="0" wrapText="1" indent="0" justifyLastLine="0" shrinkToFit="0" readingOrder="0"/>
    </dxf>
    <dxf>
      <border>
        <left style="thin">
          <color auto="1"/>
        </left>
        <right style="thin">
          <color auto="1"/>
        </right>
        <top style="double">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 Style 1" defaultPivotStyle="PivotStyleLight16">
    <tableStyle name="Table Style 1" pivot="0" count="3" xr9:uid="{00000000-0011-0000-FFFF-FFFF00000000}">
      <tableStyleElement type="wholeTable" dxfId="49"/>
      <tableStyleElement type="headerRow" dxfId="48"/>
      <tableStyleElement type="totalRow" dxfId="47"/>
    </tableStyle>
  </tableStyles>
  <colors>
    <mruColors>
      <color rgb="FFE5BA03"/>
      <color rgb="FF3F8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9</xdr:col>
      <xdr:colOff>314324</xdr:colOff>
      <xdr:row>0</xdr:row>
      <xdr:rowOff>180975</xdr:rowOff>
    </xdr:from>
    <xdr:to>
      <xdr:col>11</xdr:col>
      <xdr:colOff>18876</xdr:colOff>
      <xdr:row>2</xdr:row>
      <xdr:rowOff>53340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3299" y="180975"/>
          <a:ext cx="1666702"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238125</xdr:colOff>
      <xdr:row>0</xdr:row>
      <xdr:rowOff>142875</xdr:rowOff>
    </xdr:from>
    <xdr:to>
      <xdr:col>8</xdr:col>
      <xdr:colOff>723838</xdr:colOff>
      <xdr:row>2</xdr:row>
      <xdr:rowOff>19050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05800" y="142875"/>
          <a:ext cx="1666875" cy="447675"/>
        </a:xfrm>
        <a:prstGeom prst="rect">
          <a:avLst/>
        </a:prstGeom>
      </xdr:spPr>
    </xdr:pic>
    <xdr:clientData/>
  </xdr:twoCellAnchor>
  <xdr:twoCellAnchor editAs="oneCell">
    <xdr:from>
      <xdr:col>1</xdr:col>
      <xdr:colOff>0</xdr:colOff>
      <xdr:row>45</xdr:row>
      <xdr:rowOff>9525</xdr:rowOff>
    </xdr:from>
    <xdr:to>
      <xdr:col>8</xdr:col>
      <xdr:colOff>704788</xdr:colOff>
      <xdr:row>73</xdr:row>
      <xdr:rowOff>130433</xdr:rowOff>
    </xdr:to>
    <xdr:pic>
      <xdr:nvPicPr>
        <xdr:cNvPr id="6" name="Picture 5">
          <a:extLst>
            <a:ext uri="{FF2B5EF4-FFF2-40B4-BE49-F238E27FC236}">
              <a16:creationId xmlns:a16="http://schemas.microsoft.com/office/drawing/2014/main" id="{62DFA873-D0AC-4B57-A1D8-82D44A6612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 y="8220075"/>
          <a:ext cx="10191750" cy="4915793"/>
        </a:xfrm>
        <a:prstGeom prst="rect">
          <a:avLst/>
        </a:prstGeom>
      </xdr:spPr>
    </xdr:pic>
    <xdr:clientData/>
  </xdr:twoCellAnchor>
  <xdr:twoCellAnchor editAs="oneCell">
    <xdr:from>
      <xdr:col>1</xdr:col>
      <xdr:colOff>0</xdr:colOff>
      <xdr:row>76</xdr:row>
      <xdr:rowOff>0</xdr:rowOff>
    </xdr:from>
    <xdr:to>
      <xdr:col>8</xdr:col>
      <xdr:colOff>704788</xdr:colOff>
      <xdr:row>104</xdr:row>
      <xdr:rowOff>115193</xdr:rowOff>
    </xdr:to>
    <xdr:pic>
      <xdr:nvPicPr>
        <xdr:cNvPr id="8" name="Picture 7">
          <a:extLst>
            <a:ext uri="{FF2B5EF4-FFF2-40B4-BE49-F238E27FC236}">
              <a16:creationId xmlns:a16="http://schemas.microsoft.com/office/drawing/2014/main" id="{F336369C-9F98-44AD-8EBA-D79601D768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0800" y="13239750"/>
          <a:ext cx="10388600" cy="4737993"/>
        </a:xfrm>
        <a:prstGeom prst="rect">
          <a:avLst/>
        </a:prstGeom>
      </xdr:spPr>
    </xdr:pic>
    <xdr:clientData/>
  </xdr:twoCellAnchor>
  <xdr:twoCellAnchor editAs="oneCell">
    <xdr:from>
      <xdr:col>1</xdr:col>
      <xdr:colOff>0</xdr:colOff>
      <xdr:row>107</xdr:row>
      <xdr:rowOff>0</xdr:rowOff>
    </xdr:from>
    <xdr:to>
      <xdr:col>8</xdr:col>
      <xdr:colOff>704788</xdr:colOff>
      <xdr:row>135</xdr:row>
      <xdr:rowOff>115193</xdr:rowOff>
    </xdr:to>
    <xdr:pic>
      <xdr:nvPicPr>
        <xdr:cNvPr id="10" name="Picture 9">
          <a:extLst>
            <a:ext uri="{FF2B5EF4-FFF2-40B4-BE49-F238E27FC236}">
              <a16:creationId xmlns:a16="http://schemas.microsoft.com/office/drawing/2014/main" id="{CC9B7C82-8C32-4F12-8753-00778CF70CB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0800" y="18427700"/>
          <a:ext cx="10388600" cy="4737993"/>
        </a:xfrm>
        <a:prstGeom prst="rect">
          <a:avLst/>
        </a:prstGeom>
      </xdr:spPr>
    </xdr:pic>
    <xdr:clientData/>
  </xdr:twoCellAnchor>
  <xdr:twoCellAnchor editAs="oneCell">
    <xdr:from>
      <xdr:col>0</xdr:col>
      <xdr:colOff>1</xdr:colOff>
      <xdr:row>13</xdr:row>
      <xdr:rowOff>211423</xdr:rowOff>
    </xdr:from>
    <xdr:to>
      <xdr:col>9</xdr:col>
      <xdr:colOff>433138</xdr:colOff>
      <xdr:row>43</xdr:row>
      <xdr:rowOff>1060384</xdr:rowOff>
    </xdr:to>
    <xdr:pic>
      <xdr:nvPicPr>
        <xdr:cNvPr id="7" name="Picture 6">
          <a:extLst>
            <a:ext uri="{FF2B5EF4-FFF2-40B4-BE49-F238E27FC236}">
              <a16:creationId xmlns:a16="http://schemas.microsoft.com/office/drawing/2014/main" id="{6B46B723-DB71-4EFE-A8A6-D2B99793D72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 y="2842328"/>
          <a:ext cx="10756232" cy="6199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110289</xdr:colOff>
      <xdr:row>0</xdr:row>
      <xdr:rowOff>130341</xdr:rowOff>
    </xdr:from>
    <xdr:to>
      <xdr:col>9</xdr:col>
      <xdr:colOff>854742</xdr:colOff>
      <xdr:row>2</xdr:row>
      <xdr:rowOff>19851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03605" y="130341"/>
          <a:ext cx="1666875" cy="44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1864894</xdr:colOff>
      <xdr:row>0</xdr:row>
      <xdr:rowOff>210553</xdr:rowOff>
    </xdr:from>
    <xdr:to>
      <xdr:col>9</xdr:col>
      <xdr:colOff>1616068</xdr:colOff>
      <xdr:row>2</xdr:row>
      <xdr:rowOff>79628</xdr:rowOff>
    </xdr:to>
    <xdr:pic>
      <xdr:nvPicPr>
        <xdr:cNvPr id="5" name="Picture 4">
          <a:extLst>
            <a:ext uri="{FF2B5EF4-FFF2-40B4-BE49-F238E27FC236}">
              <a16:creationId xmlns:a16="http://schemas.microsoft.com/office/drawing/2014/main" id="{4E73557F-05AA-4500-9C62-DB21B70331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36578" y="210553"/>
          <a:ext cx="1666702" cy="440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2095500</xdr:colOff>
      <xdr:row>0</xdr:row>
      <xdr:rowOff>123825</xdr:rowOff>
    </xdr:from>
    <xdr:to>
      <xdr:col>5</xdr:col>
      <xdr:colOff>1663065</xdr:colOff>
      <xdr:row>2</xdr:row>
      <xdr:rowOff>520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0775" y="123825"/>
          <a:ext cx="1666875" cy="440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933450</xdr:colOff>
      <xdr:row>0</xdr:row>
      <xdr:rowOff>152400</xdr:rowOff>
    </xdr:from>
    <xdr:to>
      <xdr:col>9</xdr:col>
      <xdr:colOff>1562100</xdr:colOff>
      <xdr:row>2</xdr:row>
      <xdr:rowOff>20955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05975" y="152400"/>
          <a:ext cx="1666875" cy="44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1800225</xdr:colOff>
      <xdr:row>0</xdr:row>
      <xdr:rowOff>152400</xdr:rowOff>
    </xdr:from>
    <xdr:to>
      <xdr:col>5</xdr:col>
      <xdr:colOff>3467100</xdr:colOff>
      <xdr:row>2</xdr:row>
      <xdr:rowOff>21475</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2750" y="152400"/>
          <a:ext cx="1666875" cy="4405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219075</xdr:colOff>
      <xdr:row>0</xdr:row>
      <xdr:rowOff>171450</xdr:rowOff>
    </xdr:from>
    <xdr:to>
      <xdr:col>8</xdr:col>
      <xdr:colOff>676275</xdr:colOff>
      <xdr:row>2</xdr:row>
      <xdr:rowOff>47625</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0" y="171450"/>
          <a:ext cx="1666875" cy="44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219075</xdr:colOff>
      <xdr:row>0</xdr:row>
      <xdr:rowOff>171450</xdr:rowOff>
    </xdr:from>
    <xdr:to>
      <xdr:col>8</xdr:col>
      <xdr:colOff>676275</xdr:colOff>
      <xdr:row>1</xdr:row>
      <xdr:rowOff>257175</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0" y="171450"/>
          <a:ext cx="1666875" cy="447675"/>
        </a:xfrm>
        <a:prstGeom prst="rect">
          <a:avLst/>
        </a:prstGeom>
      </xdr:spPr>
    </xdr:pic>
    <xdr:clientData/>
  </xdr:twoCellAnchor>
  <xdr:twoCellAnchor editAs="oneCell">
    <xdr:from>
      <xdr:col>7</xdr:col>
      <xdr:colOff>123825</xdr:colOff>
      <xdr:row>0</xdr:row>
      <xdr:rowOff>209550</xdr:rowOff>
    </xdr:from>
    <xdr:to>
      <xdr:col>8</xdr:col>
      <xdr:colOff>581025</xdr:colOff>
      <xdr:row>1</xdr:row>
      <xdr:rowOff>288175</xdr:rowOff>
    </xdr:to>
    <xdr:pic>
      <xdr:nvPicPr>
        <xdr:cNvPr id="3" name="Picture 2">
          <a:extLst>
            <a:ext uri="{FF2B5EF4-FFF2-40B4-BE49-F238E27FC236}">
              <a16:creationId xmlns:a16="http://schemas.microsoft.com/office/drawing/2014/main" id="{1E481F1D-BCFD-4F0A-9A81-E02FEE1B48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91500" y="209550"/>
          <a:ext cx="1666875" cy="4405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1895475</xdr:colOff>
      <xdr:row>0</xdr:row>
      <xdr:rowOff>142875</xdr:rowOff>
    </xdr:from>
    <xdr:to>
      <xdr:col>4</xdr:col>
      <xdr:colOff>3562350</xdr:colOff>
      <xdr:row>1</xdr:row>
      <xdr:rowOff>221500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142875"/>
          <a:ext cx="1666875" cy="4405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_UIFields" displayName="tbl_UIFields" ref="B15:W119" totalsRowShown="0" headerRowDxfId="46" dataDxfId="45" tableBorderDxfId="44" headerRowCellStyle="Accent3">
  <tableColumns count="22">
    <tableColumn id="21" xr3:uid="{00000000-0010-0000-0000-000015000000}" name="Requirement Number" dataDxfId="43"/>
    <tableColumn id="1" xr3:uid="{00000000-0010-0000-0000-000001000000}" name="Name of DV or LV" dataDxfId="42"/>
    <tableColumn id="2" xr3:uid="{00000000-0010-0000-0000-000002000000}" name="Base Product, New, Modified" dataDxfId="41"/>
    <tableColumn id="3" xr3:uid="{00000000-0010-0000-0000-000003000000}" name="Display Key" dataDxfId="40"/>
    <tableColumn id="4" xr3:uid="{00000000-0010-0000-0000-000004000000}" name="Label" dataDxfId="39"/>
    <tableColumn id="5" xr3:uid="{00000000-0010-0000-0000-000005000000}" name="Label (Locatlized)" dataDxfId="38"/>
    <tableColumn id="6" xr3:uid="{00000000-0010-0000-0000-000006000000}" name="Path" dataDxfId="37"/>
    <tableColumn id="7" xr3:uid="{00000000-0010-0000-0000-000007000000}" name="Table" dataDxfId="36"/>
    <tableColumn id="8" xr3:uid="{00000000-0010-0000-0000-000008000000}" name="Field Name" dataDxfId="35"/>
    <tableColumn id="9" xr3:uid="{00000000-0010-0000-0000-000009000000}" name="Field Type" dataDxfId="34"/>
    <tableColumn id="10" xr3:uid="{00000000-0010-0000-0000-00000A000000}" name="Field Length" dataDxfId="33"/>
    <tableColumn id="11" xr3:uid="{00000000-0010-0000-0000-00000B000000}" name="Typelist" dataDxfId="32"/>
    <tableColumn id="12" xr3:uid="{00000000-0010-0000-0000-00000C000000}" name="Editable" dataDxfId="31"/>
    <tableColumn id="13" xr3:uid="{00000000-0010-0000-0000-00000D000000}" name="Mandatory Field" dataDxfId="30"/>
    <tableColumn id="14" xr3:uid="{00000000-0010-0000-0000-00000E000000}" name="Visible" dataDxfId="29"/>
    <tableColumn id="15" xr3:uid="{00000000-0010-0000-0000-00000F000000}" name="Available" dataDxfId="28"/>
    <tableColumn id="16" xr3:uid="{00000000-0010-0000-0000-000010000000}" name="Default Value" dataDxfId="27"/>
    <tableColumn id="22" xr3:uid="{00000000-0010-0000-0000-000016000000}" name="Permissions" dataDxfId="26"/>
    <tableColumn id="17" xr3:uid="{00000000-0010-0000-0000-000011000000}" name="Notes, Conditions, Dependencies _x000a_(Reset, Display, Validation, Error)" dataDxfId="25"/>
    <tableColumn id="20" xr3:uid="{FAB8F843-ACAA-43DF-B5E3-6A446CD9B297}" name="Label (Locatlized)2" dataDxfId="24"/>
    <tableColumn id="18" xr3:uid="{00000000-0010-0000-0000-000012000000}" name="Wave or Release" dataDxfId="23"/>
    <tableColumn id="19" xr3:uid="{00000000-0010-0000-0000-000013000000}" name="LOB" dataDxfId="22"/>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bl_Typelists" displayName="tbl_Typelists" ref="B15:N143" totalsRowShown="0" headerRowDxfId="21" dataDxfId="20" tableBorderDxfId="19" headerRowCellStyle="Accent3">
  <autoFilter ref="B15:N143" xr:uid="{00000000-0009-0000-0100-000006000000}"/>
  <tableColumns count="13">
    <tableColumn id="1" xr3:uid="{00000000-0010-0000-0100-000001000000}" name="Name of Typelist" dataDxfId="18"/>
    <tableColumn id="2" xr3:uid="{00000000-0010-0000-0100-000002000000}" name="New, Modified" dataDxfId="17"/>
    <tableColumn id="3" xr3:uid="{00000000-0010-0000-0100-000003000000}" name="Code" dataDxfId="16"/>
    <tableColumn id="4" xr3:uid="{00000000-0010-0000-0100-000004000000}" name="Typecode Name" dataDxfId="15"/>
    <tableColumn id="5" xr3:uid="{00000000-0010-0000-0100-000005000000}" name="Typecode Name  (Locale)" dataDxfId="14"/>
    <tableColumn id="6" xr3:uid="{00000000-0010-0000-0100-000006000000}" name="Typecode Description" dataDxfId="13"/>
    <tableColumn id="7" xr3:uid="{00000000-0010-0000-0100-000007000000}" name="Typecode Description _x000a_(Locale)" dataDxfId="12"/>
    <tableColumn id="8" xr3:uid="{00000000-0010-0000-0100-000008000000}" name="Priority" dataDxfId="11"/>
    <tableColumn id="9" xr3:uid="{00000000-0010-0000-0100-000009000000}" name="Retired" dataDxfId="10"/>
    <tableColumn id="10" xr3:uid="{00000000-0010-0000-0100-00000A000000}" name="Conditions" dataDxfId="9"/>
    <tableColumn id="11" xr3:uid="{00000000-0010-0000-0100-00000B000000}" name="Column1" dataDxfId="8"/>
    <tableColumn id="12" xr3:uid="{00000000-0010-0000-0100-00000C000000}" name="Wave or Release" dataDxfId="7"/>
    <tableColumn id="13" xr3:uid="{00000000-0010-0000-0100-00000D000000}" name="LOB" dataDxfId="6"/>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bl_Estimation" displayName="tbl_Estimation" ref="B14:E27" totalsRowCount="1" headerRowDxfId="5">
  <autoFilter ref="B14:E26" xr:uid="{00000000-0009-0000-0100-000004000000}"/>
  <tableColumns count="4">
    <tableColumn id="1" xr3:uid="{00000000-0010-0000-0200-000001000000}" name="Resource Type" totalsRowLabel="Totals" totalsRowDxfId="4"/>
    <tableColumn id="2" xr3:uid="{00000000-0010-0000-0200-000002000000}" name="Hours" totalsRowFunction="sum" totalsRowDxfId="3"/>
    <tableColumn id="3" xr3:uid="{00000000-0010-0000-0200-000003000000}" name="% of Effort" totalsRowFunction="sum" dataDxfId="2" totalsRowDxfId="1" dataCellStyle="Accent2">
      <calculatedColumnFormula>IF(C15=0,0,(C15/tbl_Estimation[[#Totals],[Hours]]))</calculatedColumnFormula>
    </tableColumn>
    <tableColumn id="4" xr3:uid="{00000000-0010-0000-0200-000004000000}" name="Comment" totalsRowDxfId="0"/>
  </tableColumns>
  <tableStyleInfo name="Table Style 1" showFirstColumn="0" showLastColumn="0" showRowStripes="1" showColumnStripes="0"/>
</table>
</file>

<file path=xl/theme/theme1.xml><?xml version="1.0" encoding="utf-8"?>
<a:theme xmlns:a="http://schemas.openxmlformats.org/drawingml/2006/main" name="GuidewireExcelTheme">
  <a:themeElements>
    <a:clrScheme name="Guidewire">
      <a:dk1>
        <a:sysClr val="windowText" lastClr="000000"/>
      </a:dk1>
      <a:lt1>
        <a:sysClr val="window" lastClr="FFFFFF"/>
      </a:lt1>
      <a:dk2>
        <a:srgbClr val="04628C"/>
      </a:dk2>
      <a:lt2>
        <a:srgbClr val="EEECE1"/>
      </a:lt2>
      <a:accent1>
        <a:srgbClr val="04628C"/>
      </a:accent1>
      <a:accent2>
        <a:srgbClr val="3F8E39"/>
      </a:accent2>
      <a:accent3>
        <a:srgbClr val="D8691E"/>
      </a:accent3>
      <a:accent4>
        <a:srgbClr val="645893"/>
      </a:accent4>
      <a:accent5>
        <a:srgbClr val="E5BA03"/>
      </a:accent5>
      <a:accent6>
        <a:srgbClr val="D33941"/>
      </a:accent6>
      <a:hlink>
        <a:srgbClr val="08AEF8"/>
      </a:hlink>
      <a:folHlink>
        <a:srgbClr val="A198C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omments" Target="../comments8.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3F8E39"/>
    <pageSetUpPr fitToPage="1"/>
  </sheetPr>
  <dimension ref="B1:K45"/>
  <sheetViews>
    <sheetView showGridLines="0" tabSelected="1" topLeftCell="A15" zoomScaleNormal="100" workbookViewId="0">
      <selection activeCell="C9" sqref="C9:D9"/>
    </sheetView>
  </sheetViews>
  <sheetFormatPr defaultColWidth="9.33203125" defaultRowHeight="13.8" x14ac:dyDescent="0.25"/>
  <cols>
    <col min="1" max="1" width="0.6640625" style="14" customWidth="1"/>
    <col min="2" max="2" width="27.5546875" style="14" customWidth="1"/>
    <col min="3" max="3" width="30.33203125" style="14" customWidth="1"/>
    <col min="4" max="4" width="19.33203125" style="14" customWidth="1"/>
    <col min="5" max="5" width="9.6640625" style="14" customWidth="1"/>
    <col min="6" max="6" width="15.33203125" style="14" customWidth="1"/>
    <col min="7" max="7" width="23.6640625" style="14" customWidth="1"/>
    <col min="8" max="9" width="18.33203125" style="14" customWidth="1"/>
    <col min="10" max="10" width="15.5546875" style="14" customWidth="1"/>
    <col min="11" max="11" width="13.6640625" style="14" customWidth="1"/>
    <col min="12" max="16384" width="9.33203125" style="14"/>
  </cols>
  <sheetData>
    <row r="1" spans="2:11" s="10" customFormat="1" ht="28.5" customHeight="1" x14ac:dyDescent="0.25">
      <c r="B1" s="11" t="s">
        <v>0</v>
      </c>
      <c r="C1" s="12"/>
      <c r="D1" s="13"/>
      <c r="E1" s="13"/>
      <c r="F1" s="13"/>
      <c r="G1" s="13"/>
      <c r="H1" s="13"/>
      <c r="I1" s="13"/>
      <c r="J1" s="13"/>
      <c r="K1" s="13"/>
    </row>
    <row r="2" spans="2:11" s="40" customFormat="1" ht="16.5" customHeight="1" x14ac:dyDescent="0.25">
      <c r="B2" s="42" t="s">
        <v>1</v>
      </c>
      <c r="C2" s="38"/>
      <c r="D2" s="39"/>
      <c r="E2" s="39"/>
      <c r="F2" s="39"/>
      <c r="G2" s="39"/>
      <c r="H2" s="39"/>
      <c r="I2" s="39"/>
      <c r="J2" s="39"/>
      <c r="K2" s="39"/>
    </row>
    <row r="3" spans="2:11" ht="17.25" customHeight="1" x14ac:dyDescent="0.25"/>
    <row r="4" spans="2:11" ht="14.4" x14ac:dyDescent="0.3">
      <c r="B4" s="8" t="s">
        <v>2</v>
      </c>
      <c r="C4" s="203" t="s">
        <v>3</v>
      </c>
      <c r="D4" s="214"/>
      <c r="E4" s="199" t="s">
        <v>4</v>
      </c>
      <c r="F4" s="199"/>
      <c r="G4" s="210" t="s">
        <v>5</v>
      </c>
      <c r="H4" s="211"/>
      <c r="I4" s="211"/>
      <c r="J4" s="211"/>
      <c r="K4" s="212"/>
    </row>
    <row r="5" spans="2:11" ht="14.4" x14ac:dyDescent="0.3">
      <c r="B5" s="8" t="s">
        <v>6</v>
      </c>
      <c r="C5" s="203" t="s">
        <v>7</v>
      </c>
      <c r="D5" s="214"/>
      <c r="E5" s="199" t="s">
        <v>8</v>
      </c>
      <c r="F5" s="199"/>
      <c r="G5" s="197" t="s">
        <v>9</v>
      </c>
      <c r="H5" s="223"/>
      <c r="I5" s="223"/>
      <c r="J5" s="223"/>
      <c r="K5" s="224"/>
    </row>
    <row r="6" spans="2:11" ht="14.4" x14ac:dyDescent="0.25">
      <c r="B6" s="8" t="s">
        <v>10</v>
      </c>
      <c r="C6" s="197" t="s">
        <v>11</v>
      </c>
      <c r="D6" s="198"/>
      <c r="E6" s="199" t="s">
        <v>12</v>
      </c>
      <c r="F6" s="199"/>
      <c r="G6" s="197" t="s">
        <v>13</v>
      </c>
      <c r="H6" s="208"/>
      <c r="I6" s="208"/>
      <c r="J6" s="208"/>
      <c r="K6" s="198"/>
    </row>
    <row r="7" spans="2:11" ht="14.4" x14ac:dyDescent="0.25">
      <c r="B7" s="8" t="s">
        <v>14</v>
      </c>
      <c r="C7" s="197" t="s">
        <v>15</v>
      </c>
      <c r="D7" s="198"/>
      <c r="E7" s="199" t="s">
        <v>16</v>
      </c>
      <c r="F7" s="199"/>
      <c r="G7" s="197" t="s">
        <v>17</v>
      </c>
      <c r="H7" s="208"/>
      <c r="I7" s="208"/>
      <c r="J7" s="208"/>
      <c r="K7" s="198"/>
    </row>
    <row r="8" spans="2:11" ht="14.4" x14ac:dyDescent="0.25">
      <c r="B8" s="8" t="s">
        <v>18</v>
      </c>
      <c r="C8" s="197" t="s">
        <v>19</v>
      </c>
      <c r="D8" s="198"/>
      <c r="E8" s="199" t="s">
        <v>20</v>
      </c>
      <c r="F8" s="199"/>
      <c r="G8" s="197" t="s">
        <v>21</v>
      </c>
      <c r="H8" s="208"/>
      <c r="I8" s="208"/>
      <c r="J8" s="208"/>
      <c r="K8" s="198"/>
    </row>
    <row r="9" spans="2:11" ht="14.4" x14ac:dyDescent="0.25">
      <c r="B9" s="8" t="s">
        <v>22</v>
      </c>
      <c r="C9" s="220"/>
      <c r="D9" s="221"/>
      <c r="E9" s="199" t="s">
        <v>23</v>
      </c>
      <c r="F9" s="199"/>
      <c r="G9" s="220"/>
      <c r="H9" s="225"/>
      <c r="I9" s="225"/>
      <c r="J9" s="225"/>
      <c r="K9" s="221"/>
    </row>
    <row r="10" spans="2:11" ht="14.4" x14ac:dyDescent="0.25">
      <c r="B10" s="8"/>
      <c r="C10" s="206" t="s">
        <v>24</v>
      </c>
      <c r="D10" s="207"/>
      <c r="E10" s="199" t="s">
        <v>25</v>
      </c>
      <c r="F10" s="199"/>
      <c r="G10" s="197" t="s">
        <v>26</v>
      </c>
      <c r="H10" s="208"/>
      <c r="I10" s="208"/>
      <c r="J10" s="208"/>
      <c r="K10" s="198"/>
    </row>
    <row r="11" spans="2:11" ht="14.4" x14ac:dyDescent="0.25">
      <c r="B11" s="8"/>
      <c r="C11" s="206" t="s">
        <v>24</v>
      </c>
      <c r="D11" s="207"/>
      <c r="E11" s="199" t="s">
        <v>27</v>
      </c>
      <c r="F11" s="199"/>
      <c r="G11" s="197">
        <v>8</v>
      </c>
      <c r="H11" s="208"/>
      <c r="I11" s="208"/>
      <c r="J11" s="208"/>
      <c r="K11" s="198"/>
    </row>
    <row r="12" spans="2:11" ht="14.4" x14ac:dyDescent="0.25">
      <c r="B12" s="8" t="s">
        <v>28</v>
      </c>
      <c r="C12" s="197"/>
      <c r="D12" s="198"/>
      <c r="E12" s="199" t="s">
        <v>29</v>
      </c>
      <c r="F12" s="199"/>
      <c r="G12" s="197">
        <v>0</v>
      </c>
      <c r="H12" s="208"/>
      <c r="I12" s="208"/>
      <c r="J12" s="208"/>
      <c r="K12" s="198"/>
    </row>
    <row r="13" spans="2:11" ht="14.4" x14ac:dyDescent="0.25">
      <c r="B13" s="28"/>
      <c r="C13" s="29"/>
      <c r="D13" s="29"/>
      <c r="E13" s="29"/>
      <c r="F13" s="29"/>
      <c r="G13" s="29"/>
      <c r="H13" s="29"/>
      <c r="I13" s="29"/>
      <c r="J13" s="29"/>
      <c r="K13" s="29"/>
    </row>
    <row r="14" spans="2:11" ht="53.25" customHeight="1" x14ac:dyDescent="0.25">
      <c r="B14" s="8" t="s">
        <v>30</v>
      </c>
      <c r="C14" s="203" t="s">
        <v>31</v>
      </c>
      <c r="D14" s="204"/>
      <c r="E14" s="204"/>
      <c r="F14" s="204"/>
      <c r="G14" s="204"/>
      <c r="H14" s="204"/>
      <c r="I14" s="204"/>
      <c r="J14" s="204"/>
      <c r="K14" s="205"/>
    </row>
    <row r="15" spans="2:11" ht="85.95" customHeight="1" x14ac:dyDescent="0.25">
      <c r="B15" s="8" t="s">
        <v>32</v>
      </c>
      <c r="C15" s="203" t="s">
        <v>33</v>
      </c>
      <c r="D15" s="204"/>
      <c r="E15" s="204"/>
      <c r="F15" s="204"/>
      <c r="G15" s="204"/>
      <c r="H15" s="204"/>
      <c r="I15" s="204"/>
      <c r="J15" s="204"/>
      <c r="K15" s="205"/>
    </row>
    <row r="16" spans="2:11" ht="53.25" customHeight="1" x14ac:dyDescent="0.25">
      <c r="B16" s="8" t="s">
        <v>34</v>
      </c>
      <c r="C16" s="203"/>
      <c r="D16" s="204"/>
      <c r="E16" s="204"/>
      <c r="F16" s="204"/>
      <c r="G16" s="204"/>
      <c r="H16" s="204"/>
      <c r="I16" s="204"/>
      <c r="J16" s="204"/>
      <c r="K16" s="205"/>
    </row>
    <row r="17" spans="2:11" ht="53.25" customHeight="1" x14ac:dyDescent="0.25">
      <c r="B17" s="8" t="s">
        <v>35</v>
      </c>
      <c r="C17" s="201"/>
      <c r="D17" s="215"/>
      <c r="E17" s="215"/>
      <c r="F17" s="215"/>
      <c r="G17" s="215"/>
      <c r="H17" s="215"/>
      <c r="I17" s="215"/>
      <c r="J17" s="215"/>
      <c r="K17" s="202"/>
    </row>
    <row r="18" spans="2:11" ht="53.25" customHeight="1" x14ac:dyDescent="0.25">
      <c r="B18" s="86" t="s">
        <v>36</v>
      </c>
      <c r="C18" s="203"/>
      <c r="D18" s="216"/>
      <c r="E18" s="216"/>
      <c r="F18" s="216"/>
      <c r="G18" s="216"/>
      <c r="H18" s="216"/>
      <c r="I18" s="216"/>
      <c r="J18" s="216"/>
      <c r="K18" s="217"/>
    </row>
    <row r="19" spans="2:11" ht="81.599999999999994" customHeight="1" x14ac:dyDescent="0.25">
      <c r="B19" s="8" t="s">
        <v>37</v>
      </c>
      <c r="C19" s="201"/>
      <c r="D19" s="218"/>
      <c r="E19" s="218"/>
      <c r="F19" s="218"/>
      <c r="G19" s="218"/>
      <c r="H19" s="218"/>
      <c r="I19" s="218"/>
      <c r="J19" s="218"/>
      <c r="K19" s="219"/>
    </row>
    <row r="20" spans="2:11" ht="14.4" x14ac:dyDescent="0.25">
      <c r="B20" s="28"/>
      <c r="C20" s="29"/>
      <c r="D20" s="29"/>
      <c r="E20" s="29"/>
      <c r="F20" s="29"/>
      <c r="G20" s="29"/>
      <c r="H20" s="29"/>
      <c r="I20" s="29"/>
      <c r="J20" s="29"/>
      <c r="K20" s="29"/>
    </row>
    <row r="21" spans="2:11" ht="14.4" x14ac:dyDescent="0.25">
      <c r="B21" s="8" t="s">
        <v>38</v>
      </c>
      <c r="C21" s="203" t="s">
        <v>39</v>
      </c>
      <c r="D21" s="204"/>
      <c r="E21" s="204"/>
      <c r="F21" s="204"/>
      <c r="G21" s="204"/>
      <c r="H21" s="204"/>
      <c r="I21" s="204"/>
      <c r="J21" s="204"/>
      <c r="K21" s="205"/>
    </row>
    <row r="22" spans="2:11" ht="14.4" x14ac:dyDescent="0.25">
      <c r="B22" s="8" t="s">
        <v>40</v>
      </c>
      <c r="C22" s="203" t="s">
        <v>39</v>
      </c>
      <c r="D22" s="216"/>
      <c r="E22" s="216"/>
      <c r="F22" s="216"/>
      <c r="G22" s="216"/>
      <c r="H22" s="216"/>
      <c r="I22" s="216"/>
      <c r="J22" s="216"/>
      <c r="K22" s="217"/>
    </row>
    <row r="23" spans="2:11" ht="14.4" x14ac:dyDescent="0.25">
      <c r="B23" s="28"/>
      <c r="C23" s="29"/>
      <c r="D23" s="29"/>
      <c r="E23" s="29"/>
      <c r="F23" s="29"/>
      <c r="G23" s="29"/>
      <c r="H23" s="29"/>
      <c r="I23" s="29"/>
      <c r="J23" s="29"/>
      <c r="K23" s="29"/>
    </row>
    <row r="24" spans="2:11" ht="14.4" x14ac:dyDescent="0.25">
      <c r="B24" s="28"/>
      <c r="C24" s="29"/>
      <c r="D24" s="29"/>
      <c r="E24" s="29"/>
      <c r="F24" s="29"/>
      <c r="G24" s="29"/>
      <c r="H24" s="29"/>
      <c r="I24" s="29"/>
      <c r="J24" s="29"/>
      <c r="K24" s="29"/>
    </row>
    <row r="25" spans="2:11" ht="14.4" x14ac:dyDescent="0.25">
      <c r="B25" s="191" t="s">
        <v>41</v>
      </c>
      <c r="C25" s="192"/>
      <c r="D25" s="192"/>
      <c r="E25" s="192"/>
      <c r="F25" s="192"/>
      <c r="G25" s="192"/>
      <c r="H25" s="192"/>
      <c r="I25" s="192"/>
      <c r="J25" s="192"/>
      <c r="K25" s="193"/>
    </row>
    <row r="26" spans="2:11" ht="14.4" x14ac:dyDescent="0.25">
      <c r="B26" s="9" t="s">
        <v>42</v>
      </c>
      <c r="C26" s="213" t="s">
        <v>43</v>
      </c>
      <c r="D26" s="213"/>
      <c r="E26" s="213"/>
      <c r="F26" s="213"/>
      <c r="G26" s="200" t="s">
        <v>44</v>
      </c>
      <c r="H26" s="200"/>
      <c r="I26" s="9" t="s">
        <v>45</v>
      </c>
      <c r="J26" s="61" t="s">
        <v>46</v>
      </c>
      <c r="K26" s="99" t="s">
        <v>47</v>
      </c>
    </row>
    <row r="27" spans="2:11" ht="14.4" x14ac:dyDescent="0.25">
      <c r="B27" s="69">
        <v>1</v>
      </c>
      <c r="C27" s="222" t="s">
        <v>48</v>
      </c>
      <c r="D27" s="222"/>
      <c r="E27" s="222"/>
      <c r="F27" s="222"/>
      <c r="G27" s="190" t="s">
        <v>49</v>
      </c>
      <c r="H27" s="190"/>
      <c r="I27" s="160"/>
      <c r="J27" s="115"/>
      <c r="K27" s="116"/>
    </row>
    <row r="28" spans="2:11" ht="14.4" x14ac:dyDescent="0.25">
      <c r="B28" s="114"/>
      <c r="C28" s="194"/>
      <c r="D28" s="195"/>
      <c r="E28" s="195"/>
      <c r="F28" s="196"/>
      <c r="G28" s="201"/>
      <c r="H28" s="202"/>
      <c r="I28" s="161"/>
      <c r="J28" s="124"/>
      <c r="K28" s="125"/>
    </row>
    <row r="29" spans="2:11" ht="14.4" x14ac:dyDescent="0.25">
      <c r="B29" s="69"/>
      <c r="C29" s="189"/>
      <c r="D29" s="189"/>
      <c r="E29" s="189"/>
      <c r="F29" s="189"/>
      <c r="G29" s="190"/>
      <c r="H29" s="190"/>
      <c r="I29" s="160"/>
      <c r="J29" s="115"/>
      <c r="K29" s="116"/>
    </row>
    <row r="30" spans="2:11" ht="14.4" x14ac:dyDescent="0.25">
      <c r="B30" s="69"/>
      <c r="C30" s="209"/>
      <c r="D30" s="209"/>
      <c r="E30" s="209"/>
      <c r="F30" s="209"/>
      <c r="G30" s="190"/>
      <c r="H30" s="190"/>
      <c r="I30" s="160"/>
      <c r="J30" s="115"/>
      <c r="K30" s="116"/>
    </row>
    <row r="31" spans="2:11" ht="14.4" x14ac:dyDescent="0.25">
      <c r="B31" s="69"/>
      <c r="C31" s="209"/>
      <c r="D31" s="209"/>
      <c r="E31" s="209"/>
      <c r="F31" s="209"/>
      <c r="G31" s="190"/>
      <c r="H31" s="190"/>
      <c r="I31" s="160"/>
      <c r="J31" s="115"/>
      <c r="K31" s="116"/>
    </row>
    <row r="32" spans="2:11" ht="14.4" x14ac:dyDescent="0.25">
      <c r="B32" s="69"/>
      <c r="C32" s="209"/>
      <c r="D32" s="209"/>
      <c r="E32" s="209"/>
      <c r="F32" s="209"/>
      <c r="G32" s="190"/>
      <c r="H32" s="190"/>
      <c r="I32" s="160"/>
      <c r="J32" s="115"/>
      <c r="K32" s="116"/>
    </row>
    <row r="33" spans="2:11" ht="14.4" x14ac:dyDescent="0.25">
      <c r="B33" s="30"/>
      <c r="C33" s="30"/>
      <c r="D33" s="30"/>
      <c r="E33" s="30"/>
      <c r="F33" s="30"/>
      <c r="G33" s="31"/>
      <c r="H33" s="30"/>
      <c r="I33" s="30"/>
      <c r="J33" s="30"/>
      <c r="K33" s="30"/>
    </row>
    <row r="34" spans="2:11" x14ac:dyDescent="0.25">
      <c r="G34" s="24"/>
    </row>
    <row r="35" spans="2:11" x14ac:dyDescent="0.25">
      <c r="G35" s="24"/>
    </row>
    <row r="36" spans="2:11" x14ac:dyDescent="0.25">
      <c r="G36" s="24"/>
    </row>
    <row r="37" spans="2:11" x14ac:dyDescent="0.25">
      <c r="G37" s="24"/>
    </row>
    <row r="38" spans="2:11" x14ac:dyDescent="0.25">
      <c r="G38" s="24"/>
    </row>
    <row r="39" spans="2:11" x14ac:dyDescent="0.25">
      <c r="G39" s="24"/>
    </row>
    <row r="40" spans="2:11" x14ac:dyDescent="0.25">
      <c r="G40" s="24"/>
    </row>
    <row r="41" spans="2:11" x14ac:dyDescent="0.25">
      <c r="G41" s="24"/>
    </row>
    <row r="42" spans="2:11" x14ac:dyDescent="0.25">
      <c r="G42" s="24"/>
    </row>
    <row r="43" spans="2:11" x14ac:dyDescent="0.25">
      <c r="G43" s="24"/>
    </row>
    <row r="44" spans="2:11" x14ac:dyDescent="0.25">
      <c r="G44" s="24"/>
    </row>
    <row r="45" spans="2:11" x14ac:dyDescent="0.25">
      <c r="G45" s="24"/>
    </row>
  </sheetData>
  <mergeCells count="50">
    <mergeCell ref="E7:F7"/>
    <mergeCell ref="C6:D6"/>
    <mergeCell ref="G27:H27"/>
    <mergeCell ref="C27:F27"/>
    <mergeCell ref="G5:K5"/>
    <mergeCell ref="G6:K6"/>
    <mergeCell ref="G9:K9"/>
    <mergeCell ref="C22:K22"/>
    <mergeCell ref="E6:F6"/>
    <mergeCell ref="C7:D7"/>
    <mergeCell ref="G7:K7"/>
    <mergeCell ref="E11:F11"/>
    <mergeCell ref="G4:K4"/>
    <mergeCell ref="C26:F26"/>
    <mergeCell ref="C4:D4"/>
    <mergeCell ref="E4:F4"/>
    <mergeCell ref="C21:K21"/>
    <mergeCell ref="C5:D5"/>
    <mergeCell ref="E5:F5"/>
    <mergeCell ref="C14:K14"/>
    <mergeCell ref="E9:F9"/>
    <mergeCell ref="C17:K17"/>
    <mergeCell ref="C18:K18"/>
    <mergeCell ref="C19:K19"/>
    <mergeCell ref="G11:K11"/>
    <mergeCell ref="C15:K15"/>
    <mergeCell ref="G8:K8"/>
    <mergeCell ref="C9:D9"/>
    <mergeCell ref="C32:F32"/>
    <mergeCell ref="G32:H32"/>
    <mergeCell ref="C31:F31"/>
    <mergeCell ref="G31:H31"/>
    <mergeCell ref="C30:F30"/>
    <mergeCell ref="G30:H30"/>
    <mergeCell ref="C29:F29"/>
    <mergeCell ref="G29:H29"/>
    <mergeCell ref="B25:K25"/>
    <mergeCell ref="C28:F28"/>
    <mergeCell ref="C8:D8"/>
    <mergeCell ref="E8:F8"/>
    <mergeCell ref="G26:H26"/>
    <mergeCell ref="G28:H28"/>
    <mergeCell ref="C16:K16"/>
    <mergeCell ref="C10:D10"/>
    <mergeCell ref="E10:F10"/>
    <mergeCell ref="G10:K10"/>
    <mergeCell ref="C12:D12"/>
    <mergeCell ref="E12:F12"/>
    <mergeCell ref="G12:K12"/>
    <mergeCell ref="C11:D11"/>
  </mergeCells>
  <phoneticPr fontId="0" type="noConversion"/>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'Dropdown Lists'!$C$2:$C$6</xm:f>
          </x14:formula1>
          <xm:sqref>G5:K5</xm:sqref>
        </x14:dataValidation>
        <x14:dataValidation type="list" allowBlank="1" showInputMessage="1" showErrorMessage="1" xr:uid="{00000000-0002-0000-0000-000001000000}">
          <x14:formula1>
            <xm:f>'Dropdown Lists'!$A$2:$A$9</xm:f>
          </x14:formula1>
          <xm:sqref>C4:D4</xm:sqref>
        </x14:dataValidation>
        <x14:dataValidation type="list" allowBlank="1" showInputMessage="1" showErrorMessage="1" xr:uid="{00000000-0002-0000-0000-000002000000}">
          <x14:formula1>
            <xm:f>'Dropdown Lists'!$I$2:$I$6</xm:f>
          </x14:formula1>
          <xm:sqref>G7:K7</xm:sqref>
        </x14:dataValidation>
        <x14:dataValidation type="list" allowBlank="1" showInputMessage="1" showErrorMessage="1" xr:uid="{00000000-0002-0000-0000-000003000000}">
          <x14:formula1>
            <xm:f>'Dropdown Lists'!$E$2:$E$3</xm:f>
          </x14:formula1>
          <xm:sqref>C8:D8</xm:sqref>
        </x14:dataValidation>
        <x14:dataValidation type="list" allowBlank="1" showInputMessage="1" showErrorMessage="1" xr:uid="{00000000-0002-0000-0000-000004000000}">
          <x14:formula1>
            <xm:f>'Dropdown Lists'!$K$2:$K$6</xm:f>
          </x14:formula1>
          <xm:sqref>C7:D7</xm:sqref>
        </x14:dataValidation>
        <x14:dataValidation type="list" allowBlank="1" showInputMessage="1" showErrorMessage="1" xr:uid="{00000000-0002-0000-0000-000005000000}">
          <x14:formula1>
            <xm:f>'Dropdown Lists'!$Q$2:$Q$5</xm:f>
          </x14:formula1>
          <xm:sqref>G8:K8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3F8E39"/>
    <pageSetUpPr fitToPage="1"/>
  </sheetPr>
  <dimension ref="A1:Z107"/>
  <sheetViews>
    <sheetView showGridLines="0" zoomScale="95" zoomScaleNormal="95" workbookViewId="0">
      <selection activeCell="C4" sqref="C4:D4"/>
    </sheetView>
  </sheetViews>
  <sheetFormatPr defaultColWidth="9.33203125" defaultRowHeight="13.8" x14ac:dyDescent="0.25"/>
  <cols>
    <col min="1" max="1" width="0.6640625" style="14" customWidth="1"/>
    <col min="2" max="2" width="25.6640625" style="14" customWidth="1"/>
    <col min="3" max="3" width="30.33203125" style="14" customWidth="1"/>
    <col min="4" max="4" width="19.33203125" style="14" customWidth="1"/>
    <col min="5" max="5" width="9.6640625" style="14" customWidth="1"/>
    <col min="6" max="6" width="11.44140625" style="14" customWidth="1"/>
    <col min="7" max="7" width="23.6640625" style="14" customWidth="1"/>
    <col min="8" max="8" width="18.33203125" style="14" customWidth="1"/>
    <col min="9" max="9" width="11.33203125" style="14" customWidth="1"/>
    <col min="10" max="16384" width="9.33203125" style="14"/>
  </cols>
  <sheetData>
    <row r="1" spans="1:26" s="10" customFormat="1" ht="28.5" customHeight="1" x14ac:dyDescent="0.25">
      <c r="B1" s="11" t="s">
        <v>50</v>
      </c>
      <c r="C1" s="12"/>
      <c r="D1" s="13"/>
      <c r="E1" s="13"/>
      <c r="F1" s="13"/>
      <c r="G1" s="13"/>
      <c r="H1" s="13"/>
      <c r="I1" s="13"/>
    </row>
    <row r="2" spans="1:26" s="40" customFormat="1" ht="16.5" customHeight="1" x14ac:dyDescent="0.25">
      <c r="B2" s="42" t="s">
        <v>51</v>
      </c>
      <c r="C2" s="38"/>
      <c r="D2" s="39"/>
      <c r="E2" s="39"/>
      <c r="F2" s="39"/>
      <c r="G2" s="39"/>
      <c r="H2" s="39"/>
      <c r="I2" s="39"/>
    </row>
    <row r="3" spans="1:26" ht="17.25" customHeight="1" x14ac:dyDescent="0.25"/>
    <row r="4" spans="1:26" ht="14.4" x14ac:dyDescent="0.25">
      <c r="B4" s="8" t="s">
        <v>2</v>
      </c>
      <c r="C4" s="203" t="str">
        <f>'Document Control'!C4</f>
        <v>PC</v>
      </c>
      <c r="D4" s="226"/>
      <c r="E4" s="199" t="s">
        <v>4</v>
      </c>
      <c r="F4" s="199"/>
      <c r="G4" s="210" t="str">
        <f>'Document Control'!G4</f>
        <v>US444</v>
      </c>
      <c r="H4" s="208"/>
      <c r="I4" s="198"/>
    </row>
    <row r="5" spans="1:26" ht="14.4" x14ac:dyDescent="0.25">
      <c r="B5" s="8" t="s">
        <v>6</v>
      </c>
      <c r="C5" s="203" t="str">
        <f>'Document Control'!C5</f>
        <v>Policy Info</v>
      </c>
      <c r="D5" s="226"/>
      <c r="E5" s="199" t="s">
        <v>8</v>
      </c>
      <c r="F5" s="199"/>
      <c r="G5" s="210" t="str">
        <f>'Document Control'!G5</f>
        <v>Not Started</v>
      </c>
      <c r="H5" s="208"/>
      <c r="I5" s="198"/>
    </row>
    <row r="6" spans="1:26" ht="14.4" x14ac:dyDescent="0.25">
      <c r="B6" s="8" t="s">
        <v>10</v>
      </c>
      <c r="C6" s="203" t="str">
        <f>'Document Control'!C6</f>
        <v>QuoteApplication</v>
      </c>
      <c r="D6" s="226"/>
      <c r="E6" s="199" t="s">
        <v>12</v>
      </c>
      <c r="F6" s="199"/>
      <c r="G6" s="197" t="str">
        <f>'Document Control'!G6</f>
        <v>10900-GW.2</v>
      </c>
      <c r="H6" s="223"/>
      <c r="I6" s="224"/>
    </row>
    <row r="7" spans="1:26" ht="14.4" x14ac:dyDescent="0.25">
      <c r="B7" s="8" t="str">
        <f>'Document Control'!B7</f>
        <v>Gap Business Value</v>
      </c>
      <c r="C7" s="203" t="str">
        <f>'Document Control'!C7</f>
        <v>3 - Significant Value</v>
      </c>
      <c r="D7" s="226"/>
      <c r="E7" s="199" t="s">
        <v>16</v>
      </c>
      <c r="F7" s="199"/>
      <c r="G7" s="210" t="str">
        <f>'Document Control'!G7</f>
        <v>4 - Full Product Alignment</v>
      </c>
      <c r="H7" s="208"/>
      <c r="I7" s="198"/>
    </row>
    <row r="8" spans="1:26" ht="14.4" x14ac:dyDescent="0.25">
      <c r="B8" s="8" t="s">
        <v>18</v>
      </c>
      <c r="C8" s="203" t="str">
        <f>'Document Control'!C8</f>
        <v>Project</v>
      </c>
      <c r="D8" s="226"/>
      <c r="E8" s="199" t="s">
        <v>20</v>
      </c>
      <c r="F8" s="199"/>
      <c r="G8" s="197" t="str">
        <f>'Document Control'!G8</f>
        <v>1. Critical</v>
      </c>
      <c r="H8" s="223"/>
      <c r="I8" s="224"/>
    </row>
    <row r="9" spans="1:26" ht="14.4" x14ac:dyDescent="0.25">
      <c r="B9" s="8" t="s">
        <v>22</v>
      </c>
      <c r="C9" s="203">
        <f>'Document Control'!C9</f>
        <v>0</v>
      </c>
      <c r="D9" s="226"/>
      <c r="E9" s="199" t="s">
        <v>23</v>
      </c>
      <c r="F9" s="199"/>
      <c r="G9" s="210">
        <f>'Document Control'!G9</f>
        <v>0</v>
      </c>
      <c r="H9" s="208"/>
      <c r="I9" s="198"/>
    </row>
    <row r="10" spans="1:26" ht="14.4" x14ac:dyDescent="0.25">
      <c r="B10" s="8"/>
      <c r="C10" s="229" t="str">
        <f>'Document Control'!C10</f>
        <v xml:space="preserve"> </v>
      </c>
      <c r="D10" s="230"/>
      <c r="E10" s="199" t="s">
        <v>25</v>
      </c>
      <c r="F10" s="199"/>
      <c r="G10" s="210" t="str">
        <f>'Document Control'!G10</f>
        <v>FUN_Standard</v>
      </c>
      <c r="H10" s="208"/>
      <c r="I10" s="198"/>
    </row>
    <row r="11" spans="1:26" ht="14.4" x14ac:dyDescent="0.25">
      <c r="B11" s="8"/>
      <c r="C11" s="229" t="str">
        <f>'Document Control'!C11</f>
        <v xml:space="preserve"> </v>
      </c>
      <c r="D11" s="230"/>
      <c r="E11" s="199" t="s">
        <v>27</v>
      </c>
      <c r="F11" s="199"/>
      <c r="G11" s="197">
        <f>'Document Control'!G11</f>
        <v>8</v>
      </c>
      <c r="H11" s="223"/>
      <c r="I11" s="224"/>
    </row>
    <row r="12" spans="1:26" ht="14.4" x14ac:dyDescent="0.25">
      <c r="B12" s="8" t="s">
        <v>28</v>
      </c>
      <c r="C12" s="203">
        <f>'Document Control'!C12</f>
        <v>0</v>
      </c>
      <c r="D12" s="226"/>
      <c r="E12" s="199" t="s">
        <v>29</v>
      </c>
      <c r="F12" s="199"/>
      <c r="G12" s="197">
        <f>'Document Control'!G12</f>
        <v>0</v>
      </c>
      <c r="H12" s="223"/>
      <c r="I12" s="224"/>
    </row>
    <row r="13" spans="1:26" ht="14.4" x14ac:dyDescent="0.25">
      <c r="B13" s="87" t="s">
        <v>52</v>
      </c>
      <c r="C13" s="29"/>
      <c r="D13" s="29"/>
      <c r="E13" s="29"/>
      <c r="F13" s="29"/>
      <c r="G13" s="29"/>
      <c r="H13" s="29"/>
      <c r="I13" s="29"/>
    </row>
    <row r="14" spans="1:26" s="5" customFormat="1" ht="18.75" customHeight="1" x14ac:dyDescent="0.3">
      <c r="A14" s="15"/>
      <c r="B14" s="227" t="s">
        <v>53</v>
      </c>
      <c r="C14" s="228"/>
      <c r="D14" s="228"/>
      <c r="E14" s="228"/>
      <c r="F14" s="228"/>
      <c r="G14" s="228"/>
      <c r="H14" s="228"/>
      <c r="I14" s="228"/>
      <c r="J14" s="15"/>
      <c r="K14" s="15"/>
      <c r="L14" s="15"/>
      <c r="M14" s="15"/>
      <c r="N14" s="15"/>
      <c r="O14" s="15"/>
      <c r="P14" s="15"/>
      <c r="Q14" s="15"/>
      <c r="R14" s="15"/>
      <c r="S14" s="15"/>
      <c r="T14" s="15"/>
      <c r="U14" s="15"/>
      <c r="V14" s="15"/>
      <c r="W14" s="15"/>
      <c r="X14" s="15"/>
      <c r="Y14" s="15"/>
      <c r="Z14" s="15"/>
    </row>
    <row r="15" spans="1:26" x14ac:dyDescent="0.25">
      <c r="B15"/>
    </row>
    <row r="17" spans="2:3" x14ac:dyDescent="0.25">
      <c r="B17"/>
    </row>
    <row r="21" spans="2:3" x14ac:dyDescent="0.25">
      <c r="C21"/>
    </row>
    <row r="38" spans="2:12" x14ac:dyDescent="0.25">
      <c r="L38"/>
    </row>
    <row r="44" spans="2:12" ht="101.4" customHeight="1" x14ac:dyDescent="0.25"/>
    <row r="45" spans="2:12" ht="18.75" customHeight="1" x14ac:dyDescent="0.25">
      <c r="B45" s="100" t="s">
        <v>54</v>
      </c>
      <c r="C45" s="101"/>
      <c r="D45" s="101"/>
      <c r="E45" s="101"/>
      <c r="F45" s="101"/>
      <c r="G45" s="101"/>
      <c r="H45" s="101"/>
      <c r="I45" s="101"/>
    </row>
    <row r="76" spans="2:9" ht="18.75" customHeight="1" x14ac:dyDescent="0.25">
      <c r="B76" s="100" t="s">
        <v>55</v>
      </c>
      <c r="C76" s="101"/>
      <c r="D76" s="101"/>
      <c r="E76" s="101"/>
      <c r="F76" s="101"/>
      <c r="G76" s="101"/>
      <c r="H76" s="101"/>
      <c r="I76" s="101"/>
    </row>
    <row r="107" spans="2:9" ht="18.75" customHeight="1" x14ac:dyDescent="0.25">
      <c r="B107" s="100" t="s">
        <v>56</v>
      </c>
      <c r="C107" s="101"/>
      <c r="D107" s="101"/>
      <c r="E107" s="101"/>
      <c r="F107" s="101"/>
      <c r="G107" s="101"/>
      <c r="H107" s="101"/>
      <c r="I107" s="101"/>
    </row>
  </sheetData>
  <mergeCells count="28">
    <mergeCell ref="C4:D4"/>
    <mergeCell ref="E4:F4"/>
    <mergeCell ref="G4:I4"/>
    <mergeCell ref="C5:D5"/>
    <mergeCell ref="E5:F5"/>
    <mergeCell ref="G5:I5"/>
    <mergeCell ref="C11:D11"/>
    <mergeCell ref="G7:I7"/>
    <mergeCell ref="G8:I8"/>
    <mergeCell ref="G9:I9"/>
    <mergeCell ref="G10:I10"/>
    <mergeCell ref="G11:I11"/>
    <mergeCell ref="C12:D12"/>
    <mergeCell ref="G12:I12"/>
    <mergeCell ref="B14:I14"/>
    <mergeCell ref="E12:F12"/>
    <mergeCell ref="C6:D6"/>
    <mergeCell ref="E6:F6"/>
    <mergeCell ref="G6:I6"/>
    <mergeCell ref="E7:F7"/>
    <mergeCell ref="E8:F8"/>
    <mergeCell ref="E9:F9"/>
    <mergeCell ref="E10:F10"/>
    <mergeCell ref="E11:F11"/>
    <mergeCell ref="C7:D7"/>
    <mergeCell ref="C8:D8"/>
    <mergeCell ref="C9:D9"/>
    <mergeCell ref="C10:D10"/>
  </mergeCell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pageSetUpPr fitToPage="1"/>
  </sheetPr>
  <dimension ref="A1:AE119"/>
  <sheetViews>
    <sheetView showGridLines="0" zoomScale="95" zoomScaleNormal="95" workbookViewId="0">
      <pane ySplit="15" topLeftCell="A16" activePane="bottomLeft" state="frozen"/>
      <selection pane="bottomLeft" activeCell="B18" sqref="B18"/>
    </sheetView>
  </sheetViews>
  <sheetFormatPr defaultColWidth="9.33203125" defaultRowHeight="13.8" x14ac:dyDescent="0.25"/>
  <cols>
    <col min="1" max="1" width="0.6640625" style="14" customWidth="1"/>
    <col min="2" max="2" width="25.33203125" style="27" customWidth="1"/>
    <col min="3" max="3" width="29.88671875" style="27" customWidth="1"/>
    <col min="4" max="4" width="13.6640625" style="27" customWidth="1"/>
    <col min="5" max="5" width="55.6640625" style="27" customWidth="1"/>
    <col min="6" max="6" width="33.109375" style="27" customWidth="1"/>
    <col min="7" max="7" width="19.88671875" style="27" customWidth="1"/>
    <col min="8" max="8" width="45.6640625" style="27" customWidth="1"/>
    <col min="9" max="9" width="14" style="27" customWidth="1"/>
    <col min="10" max="10" width="18.6640625" style="27" customWidth="1"/>
    <col min="11" max="11" width="19.33203125" style="27" customWidth="1"/>
    <col min="12" max="12" width="8.44140625" style="27" customWidth="1"/>
    <col min="13" max="13" width="26.5546875" style="14" customWidth="1"/>
    <col min="14" max="16" width="25.6640625" style="14" customWidth="1"/>
    <col min="17" max="17" width="37.109375" style="14" customWidth="1"/>
    <col min="18" max="18" width="11.6640625" style="14" customWidth="1"/>
    <col min="19" max="19" width="44.5546875" style="14" customWidth="1"/>
    <col min="20" max="20" width="46.33203125" style="14" customWidth="1"/>
    <col min="21" max="21" width="19.88671875" style="27" customWidth="1"/>
    <col min="22" max="22" width="9.33203125" style="121" customWidth="1"/>
    <col min="23" max="23" width="13.6640625" style="14" customWidth="1"/>
    <col min="24" max="16384" width="9.33203125" style="14"/>
  </cols>
  <sheetData>
    <row r="1" spans="1:31" s="10" customFormat="1" ht="28.5" customHeight="1" x14ac:dyDescent="0.25">
      <c r="B1" s="11" t="s">
        <v>57</v>
      </c>
      <c r="C1" s="11"/>
      <c r="D1" s="11"/>
      <c r="E1" s="12"/>
      <c r="F1" s="12"/>
      <c r="G1" s="13"/>
      <c r="H1" s="13"/>
      <c r="I1" s="13"/>
      <c r="J1" s="13"/>
      <c r="K1" s="13"/>
      <c r="L1" s="13"/>
      <c r="U1" s="13"/>
      <c r="V1" s="119"/>
    </row>
    <row r="2" spans="1:31" s="40" customFormat="1" ht="16.5" customHeight="1" x14ac:dyDescent="0.25">
      <c r="B2" s="42" t="s">
        <v>58</v>
      </c>
      <c r="C2" s="42"/>
      <c r="D2" s="42"/>
      <c r="E2" s="38"/>
      <c r="F2" s="38"/>
      <c r="G2" s="39"/>
      <c r="H2" s="39"/>
      <c r="I2" s="39"/>
      <c r="J2" s="39"/>
      <c r="K2" s="39"/>
      <c r="L2" s="39"/>
      <c r="U2" s="39"/>
      <c r="V2" s="120"/>
    </row>
    <row r="3" spans="1:31" ht="17.25" customHeight="1" x14ac:dyDescent="0.25">
      <c r="B3" s="14"/>
      <c r="C3" s="14"/>
      <c r="D3" s="14"/>
      <c r="E3" s="14"/>
      <c r="F3" s="14"/>
      <c r="G3" s="14"/>
      <c r="H3" s="14"/>
      <c r="I3" s="14"/>
      <c r="J3" s="14"/>
      <c r="K3" s="14"/>
      <c r="L3" s="14"/>
      <c r="U3" s="14"/>
    </row>
    <row r="4" spans="1:31" ht="15" customHeight="1" x14ac:dyDescent="0.25">
      <c r="B4" s="96" t="s">
        <v>2</v>
      </c>
      <c r="C4" s="98"/>
      <c r="D4" s="93" t="str">
        <f>'Document Control'!C4</f>
        <v>PC</v>
      </c>
      <c r="E4" s="97"/>
      <c r="F4" s="199" t="s">
        <v>4</v>
      </c>
      <c r="G4" s="199"/>
      <c r="H4" s="92" t="str">
        <f>'Document Control'!G4</f>
        <v>US444</v>
      </c>
      <c r="I4" s="90"/>
      <c r="J4" s="91"/>
      <c r="K4" s="57"/>
      <c r="L4" s="56"/>
      <c r="M4" s="56"/>
      <c r="U4" s="14"/>
    </row>
    <row r="5" spans="1:31" ht="14.4" x14ac:dyDescent="0.25">
      <c r="B5" s="96" t="s">
        <v>6</v>
      </c>
      <c r="C5" s="98"/>
      <c r="D5" s="93" t="str">
        <f>'Document Control'!C5</f>
        <v>Policy Info</v>
      </c>
      <c r="E5" s="97"/>
      <c r="F5" s="199" t="s">
        <v>8</v>
      </c>
      <c r="G5" s="199"/>
      <c r="H5" s="92" t="str">
        <f>'Document Control'!G5</f>
        <v>Not Started</v>
      </c>
      <c r="I5" s="90"/>
      <c r="J5" s="91"/>
      <c r="K5" s="56"/>
      <c r="L5" s="56"/>
      <c r="M5" s="56"/>
      <c r="U5" s="14"/>
    </row>
    <row r="6" spans="1:31" ht="14.4" x14ac:dyDescent="0.25">
      <c r="B6" s="96" t="s">
        <v>10</v>
      </c>
      <c r="C6" s="98"/>
      <c r="D6" s="203" t="str">
        <f>'Document Control'!C6</f>
        <v>QuoteApplication</v>
      </c>
      <c r="E6" s="205"/>
      <c r="F6" s="199" t="s">
        <v>12</v>
      </c>
      <c r="G6" s="199"/>
      <c r="H6" s="197" t="str">
        <f>'Document Control'!G6</f>
        <v>10900-GW.2</v>
      </c>
      <c r="I6" s="223"/>
      <c r="J6" s="224"/>
      <c r="K6" s="56"/>
      <c r="L6" s="56"/>
      <c r="M6" s="56"/>
      <c r="U6" s="14"/>
    </row>
    <row r="7" spans="1:31" ht="14.4" x14ac:dyDescent="0.25">
      <c r="A7" s="16"/>
      <c r="B7" s="96" t="str">
        <f>'Document Control'!B7</f>
        <v>Gap Business Value</v>
      </c>
      <c r="C7" s="98"/>
      <c r="D7" s="197" t="str">
        <f>'Document Control'!C7</f>
        <v>3 - Significant Value</v>
      </c>
      <c r="E7" s="232"/>
      <c r="F7" s="199" t="s">
        <v>16</v>
      </c>
      <c r="G7" s="199"/>
      <c r="H7" s="89" t="str">
        <f>'Document Control'!G7</f>
        <v>4 - Full Product Alignment</v>
      </c>
      <c r="I7" s="90"/>
      <c r="J7" s="91"/>
      <c r="K7" s="16"/>
      <c r="L7" s="16"/>
      <c r="M7" s="16"/>
      <c r="N7" s="16"/>
      <c r="O7" s="16"/>
      <c r="P7" s="16"/>
      <c r="Q7" s="16"/>
      <c r="R7" s="16"/>
      <c r="S7" s="16"/>
      <c r="T7" s="16"/>
      <c r="U7" s="16"/>
      <c r="V7" s="122"/>
      <c r="W7" s="16"/>
      <c r="X7" s="16"/>
      <c r="Y7" s="16"/>
      <c r="Z7" s="16"/>
      <c r="AA7" s="16"/>
      <c r="AB7" s="16"/>
      <c r="AC7" s="16"/>
      <c r="AD7" s="16"/>
      <c r="AE7" s="16"/>
    </row>
    <row r="8" spans="1:31" ht="14.4" x14ac:dyDescent="0.25">
      <c r="B8" s="96" t="s">
        <v>18</v>
      </c>
      <c r="C8" s="98"/>
      <c r="D8" s="203" t="str">
        <f>'Document Control'!C8</f>
        <v>Project</v>
      </c>
      <c r="E8" s="231"/>
      <c r="F8" s="199" t="s">
        <v>20</v>
      </c>
      <c r="G8" s="199"/>
      <c r="H8" s="197" t="str">
        <f>'Document Control'!G8</f>
        <v>1. Critical</v>
      </c>
      <c r="I8" s="223"/>
      <c r="J8" s="224"/>
      <c r="K8" s="56"/>
      <c r="L8" s="56"/>
      <c r="M8" s="56"/>
      <c r="U8" s="14"/>
    </row>
    <row r="9" spans="1:31" ht="14.4" x14ac:dyDescent="0.25">
      <c r="B9" s="96" t="s">
        <v>22</v>
      </c>
      <c r="C9" s="98"/>
      <c r="D9" s="203">
        <f>'Document Control'!C9</f>
        <v>0</v>
      </c>
      <c r="E9" s="231"/>
      <c r="F9" s="199" t="s">
        <v>23</v>
      </c>
      <c r="G9" s="199"/>
      <c r="H9" s="92">
        <f>'Document Control'!G9</f>
        <v>0</v>
      </c>
      <c r="I9" s="90"/>
      <c r="J9" s="91"/>
      <c r="K9" s="56"/>
      <c r="L9" s="56"/>
      <c r="M9" s="56"/>
      <c r="U9" s="14"/>
    </row>
    <row r="10" spans="1:31" ht="14.4" x14ac:dyDescent="0.25">
      <c r="B10" s="96"/>
      <c r="C10" s="98"/>
      <c r="D10" s="203" t="str">
        <f>'Document Control'!C10</f>
        <v xml:space="preserve"> </v>
      </c>
      <c r="E10" s="231"/>
      <c r="F10" s="199" t="s">
        <v>25</v>
      </c>
      <c r="G10" s="199"/>
      <c r="H10" s="89" t="str">
        <f>'Document Control'!G10</f>
        <v>FUN_Standard</v>
      </c>
      <c r="I10" s="90"/>
      <c r="J10" s="91"/>
      <c r="K10" s="56"/>
      <c r="L10" s="56"/>
      <c r="M10" s="56"/>
      <c r="U10" s="14"/>
    </row>
    <row r="11" spans="1:31" ht="14.4" x14ac:dyDescent="0.25">
      <c r="B11" s="96"/>
      <c r="C11" s="98"/>
      <c r="D11" s="203" t="str">
        <f>'Document Control'!C11</f>
        <v xml:space="preserve"> </v>
      </c>
      <c r="E11" s="231"/>
      <c r="F11" s="199" t="s">
        <v>27</v>
      </c>
      <c r="G11" s="199"/>
      <c r="H11" s="197">
        <f>'Document Control'!G11</f>
        <v>8</v>
      </c>
      <c r="I11" s="223"/>
      <c r="J11" s="224"/>
      <c r="K11" s="56"/>
      <c r="L11" s="56"/>
      <c r="M11" s="56"/>
      <c r="U11" s="14"/>
    </row>
    <row r="12" spans="1:31" ht="14.4" x14ac:dyDescent="0.25">
      <c r="B12" s="96" t="s">
        <v>28</v>
      </c>
      <c r="C12" s="98"/>
      <c r="D12" s="203">
        <f>'Document Control'!C12</f>
        <v>0</v>
      </c>
      <c r="E12" s="231"/>
      <c r="F12" s="199" t="s">
        <v>29</v>
      </c>
      <c r="G12" s="199"/>
      <c r="H12" s="197">
        <f>'Document Control'!G12</f>
        <v>0</v>
      </c>
      <c r="I12" s="223"/>
      <c r="J12" s="224"/>
      <c r="K12" s="56"/>
      <c r="L12" s="56"/>
      <c r="M12" s="56"/>
      <c r="U12" s="14"/>
    </row>
    <row r="13" spans="1:31" x14ac:dyDescent="0.25">
      <c r="B13" s="25"/>
      <c r="C13" s="25"/>
      <c r="D13" s="25"/>
      <c r="E13" s="26"/>
      <c r="F13" s="26"/>
      <c r="G13" s="26"/>
      <c r="H13" s="26"/>
      <c r="I13" s="14"/>
      <c r="J13" s="14"/>
      <c r="K13" s="14"/>
      <c r="L13" s="14"/>
      <c r="U13" s="26"/>
    </row>
    <row r="14" spans="1:31" ht="14.4" x14ac:dyDescent="0.25">
      <c r="B14" s="166" t="s">
        <v>59</v>
      </c>
      <c r="C14" s="167"/>
      <c r="D14" s="167"/>
      <c r="E14" s="167"/>
      <c r="F14" s="167"/>
      <c r="G14" s="167"/>
      <c r="H14" s="167"/>
      <c r="I14" s="167"/>
      <c r="J14" s="167"/>
      <c r="K14" s="167"/>
      <c r="L14" s="167"/>
      <c r="M14" s="167"/>
      <c r="N14" s="167"/>
      <c r="O14" s="167"/>
      <c r="P14" s="167"/>
      <c r="Q14" s="167"/>
      <c r="R14" s="68"/>
      <c r="S14" s="68"/>
      <c r="T14" s="68"/>
      <c r="U14" s="68"/>
      <c r="V14" s="123"/>
      <c r="W14" s="68"/>
    </row>
    <row r="15" spans="1:31" s="84" customFormat="1" ht="28.8" x14ac:dyDescent="0.3">
      <c r="B15" s="85" t="s">
        <v>60</v>
      </c>
      <c r="C15" s="81" t="s">
        <v>61</v>
      </c>
      <c r="D15" s="82" t="s">
        <v>62</v>
      </c>
      <c r="E15" s="82" t="s">
        <v>63</v>
      </c>
      <c r="F15" s="82" t="s">
        <v>64</v>
      </c>
      <c r="G15" s="82" t="s">
        <v>65</v>
      </c>
      <c r="H15" s="82" t="s">
        <v>66</v>
      </c>
      <c r="I15" s="82" t="s">
        <v>67</v>
      </c>
      <c r="J15" s="82" t="s">
        <v>68</v>
      </c>
      <c r="K15" s="82" t="s">
        <v>69</v>
      </c>
      <c r="L15" s="82" t="s">
        <v>70</v>
      </c>
      <c r="M15" s="82" t="s">
        <v>71</v>
      </c>
      <c r="N15" s="82" t="s">
        <v>72</v>
      </c>
      <c r="O15" s="82" t="s">
        <v>73</v>
      </c>
      <c r="P15" s="82" t="s">
        <v>74</v>
      </c>
      <c r="Q15" s="82" t="s">
        <v>75</v>
      </c>
      <c r="R15" s="82" t="s">
        <v>76</v>
      </c>
      <c r="S15" s="82" t="s">
        <v>77</v>
      </c>
      <c r="T15" s="82" t="s">
        <v>78</v>
      </c>
      <c r="U15" s="82" t="s">
        <v>79</v>
      </c>
      <c r="V15" s="82" t="s">
        <v>80</v>
      </c>
      <c r="W15" s="82" t="s">
        <v>47</v>
      </c>
    </row>
    <row r="16" spans="1:31" ht="14.4" x14ac:dyDescent="0.25">
      <c r="B16" s="102" t="s">
        <v>81</v>
      </c>
      <c r="C16" s="168"/>
      <c r="D16" s="168"/>
      <c r="E16" s="168"/>
      <c r="F16" s="169"/>
      <c r="G16" s="170"/>
      <c r="H16" s="170"/>
      <c r="I16" s="169"/>
      <c r="J16" s="169"/>
      <c r="K16" s="169"/>
      <c r="L16" s="169"/>
      <c r="M16" s="169"/>
      <c r="N16" s="170"/>
      <c r="O16" s="170"/>
      <c r="P16" s="170"/>
      <c r="Q16" s="170"/>
      <c r="R16" s="170"/>
      <c r="S16" s="170"/>
      <c r="T16" s="170"/>
      <c r="U16" s="170"/>
      <c r="V16" s="171"/>
      <c r="W16" s="170"/>
    </row>
    <row r="17" spans="2:23" ht="15" customHeight="1" x14ac:dyDescent="0.25">
      <c r="B17" s="172"/>
      <c r="C17" s="173" t="s">
        <v>82</v>
      </c>
      <c r="D17" s="174"/>
      <c r="E17" s="174"/>
      <c r="F17" s="173"/>
      <c r="G17" s="172"/>
      <c r="H17" s="172"/>
      <c r="I17" s="173"/>
      <c r="J17" s="173"/>
      <c r="K17" s="173"/>
      <c r="L17" s="173"/>
      <c r="M17" s="173"/>
      <c r="N17" s="172"/>
      <c r="O17" s="172"/>
      <c r="P17" s="172"/>
      <c r="Q17" s="172"/>
      <c r="R17" s="172"/>
      <c r="S17" s="172"/>
      <c r="T17" s="172"/>
      <c r="U17" s="172"/>
      <c r="V17" s="175"/>
      <c r="W17" s="172"/>
    </row>
    <row r="18" spans="2:23" ht="15" customHeight="1" x14ac:dyDescent="0.25">
      <c r="B18" s="117"/>
      <c r="C18" s="176" t="s">
        <v>82</v>
      </c>
      <c r="D18" s="107" t="s">
        <v>83</v>
      </c>
      <c r="E18" s="176" t="s">
        <v>84</v>
      </c>
      <c r="F18" s="128" t="s">
        <v>85</v>
      </c>
      <c r="G18" s="118"/>
      <c r="H18" s="118" t="s">
        <v>86</v>
      </c>
      <c r="I18" s="176" t="s">
        <v>87</v>
      </c>
      <c r="J18" s="128" t="s">
        <v>88</v>
      </c>
      <c r="K18" s="128" t="s">
        <v>89</v>
      </c>
      <c r="L18" s="128"/>
      <c r="M18" s="128"/>
      <c r="N18" s="118" t="b">
        <v>1</v>
      </c>
      <c r="O18" s="118" t="b">
        <v>0</v>
      </c>
      <c r="P18" s="110" t="b">
        <v>1</v>
      </c>
      <c r="Q18" s="118"/>
      <c r="R18" s="118"/>
      <c r="S18" s="118"/>
      <c r="T18" s="117"/>
      <c r="U18" s="118"/>
      <c r="V18" s="177"/>
      <c r="W18" s="118" t="s">
        <v>90</v>
      </c>
    </row>
    <row r="19" spans="2:23" ht="15" customHeight="1" x14ac:dyDescent="0.25">
      <c r="B19" s="118"/>
      <c r="C19" s="176" t="s">
        <v>82</v>
      </c>
      <c r="D19" s="176" t="s">
        <v>83</v>
      </c>
      <c r="E19" s="176" t="s">
        <v>91</v>
      </c>
      <c r="F19" s="128" t="s">
        <v>92</v>
      </c>
      <c r="G19" s="118"/>
      <c r="H19" s="118" t="s">
        <v>93</v>
      </c>
      <c r="I19" s="176" t="s">
        <v>94</v>
      </c>
      <c r="J19" s="128" t="s">
        <v>95</v>
      </c>
      <c r="K19" s="128" t="s">
        <v>96</v>
      </c>
      <c r="L19" s="128"/>
      <c r="M19" s="128"/>
      <c r="N19" s="118" t="b">
        <v>1</v>
      </c>
      <c r="O19" s="118" t="b">
        <v>0</v>
      </c>
      <c r="P19" s="118" t="s">
        <v>97</v>
      </c>
      <c r="Q19" s="118"/>
      <c r="R19" s="118"/>
      <c r="S19" s="118"/>
      <c r="T19" s="118"/>
      <c r="U19" s="118"/>
      <c r="V19" s="177"/>
      <c r="W19" s="118" t="s">
        <v>90</v>
      </c>
    </row>
    <row r="20" spans="2:23" ht="15" customHeight="1" x14ac:dyDescent="0.25">
      <c r="B20" s="118"/>
      <c r="C20" s="176" t="s">
        <v>82</v>
      </c>
      <c r="D20" s="176" t="s">
        <v>83</v>
      </c>
      <c r="E20" s="176"/>
      <c r="F20" s="128"/>
      <c r="G20" s="118"/>
      <c r="H20" s="118" t="s">
        <v>98</v>
      </c>
      <c r="I20" s="176" t="s">
        <v>94</v>
      </c>
      <c r="J20" s="128" t="s">
        <v>99</v>
      </c>
      <c r="K20" s="128" t="s">
        <v>100</v>
      </c>
      <c r="L20" s="128"/>
      <c r="M20" s="128"/>
      <c r="N20" s="118" t="s">
        <v>101</v>
      </c>
      <c r="O20" s="118" t="b">
        <v>0</v>
      </c>
      <c r="P20" s="118"/>
      <c r="Q20" s="118"/>
      <c r="R20" s="118"/>
      <c r="S20" s="118"/>
      <c r="T20" s="118"/>
      <c r="U20" s="118"/>
      <c r="V20" s="177"/>
      <c r="W20" s="118" t="s">
        <v>90</v>
      </c>
    </row>
    <row r="21" spans="2:23" ht="15" customHeight="1" x14ac:dyDescent="0.25">
      <c r="B21" s="118"/>
      <c r="C21" s="176" t="s">
        <v>82</v>
      </c>
      <c r="D21" s="176" t="s">
        <v>83</v>
      </c>
      <c r="E21" s="176"/>
      <c r="F21" s="128"/>
      <c r="G21" s="118"/>
      <c r="H21" s="178" t="s">
        <v>102</v>
      </c>
      <c r="I21" s="176"/>
      <c r="J21" s="128"/>
      <c r="K21" s="128"/>
      <c r="L21" s="128"/>
      <c r="M21" s="128"/>
      <c r="N21" s="118" t="b">
        <v>0</v>
      </c>
      <c r="O21" s="118" t="b">
        <v>0</v>
      </c>
      <c r="P21" s="118" t="s">
        <v>103</v>
      </c>
      <c r="Q21" s="118"/>
      <c r="R21" s="118"/>
      <c r="S21" s="118"/>
      <c r="T21" s="118"/>
      <c r="U21" s="118"/>
      <c r="V21" s="177"/>
      <c r="W21" s="118" t="s">
        <v>90</v>
      </c>
    </row>
    <row r="22" spans="2:23" ht="15" customHeight="1" x14ac:dyDescent="0.25">
      <c r="B22" s="172"/>
      <c r="C22" s="173" t="s">
        <v>104</v>
      </c>
      <c r="D22" s="174"/>
      <c r="E22" s="174"/>
      <c r="F22" s="173"/>
      <c r="G22" s="172"/>
      <c r="H22" s="172"/>
      <c r="I22" s="173"/>
      <c r="J22" s="173"/>
      <c r="K22" s="173"/>
      <c r="L22" s="173"/>
      <c r="M22" s="173"/>
      <c r="N22" s="172"/>
      <c r="O22" s="172"/>
      <c r="P22" s="172"/>
      <c r="Q22" s="172"/>
      <c r="R22" s="172"/>
      <c r="S22" s="172"/>
      <c r="T22" s="172"/>
      <c r="U22" s="172"/>
      <c r="V22" s="175"/>
      <c r="W22" s="172"/>
    </row>
    <row r="23" spans="2:23" ht="15" customHeight="1" x14ac:dyDescent="0.25">
      <c r="B23" s="118"/>
      <c r="C23" s="176" t="s">
        <v>104</v>
      </c>
      <c r="D23" s="176" t="s">
        <v>83</v>
      </c>
      <c r="E23" s="176" t="s">
        <v>105</v>
      </c>
      <c r="F23" s="128" t="s">
        <v>106</v>
      </c>
      <c r="G23" s="118"/>
      <c r="H23" s="118"/>
      <c r="I23" s="128"/>
      <c r="J23" s="128"/>
      <c r="K23" s="128"/>
      <c r="L23" s="128"/>
      <c r="M23" s="128"/>
      <c r="N23" s="118" t="b">
        <v>0</v>
      </c>
      <c r="O23" s="118" t="b">
        <v>0</v>
      </c>
      <c r="P23" s="118" t="s">
        <v>107</v>
      </c>
      <c r="Q23" s="118"/>
      <c r="R23" s="118"/>
      <c r="S23" s="118"/>
      <c r="T23" s="118"/>
      <c r="U23" s="118"/>
      <c r="V23" s="177"/>
      <c r="W23" s="118" t="s">
        <v>90</v>
      </c>
    </row>
    <row r="24" spans="2:23" ht="15" customHeight="1" x14ac:dyDescent="0.25">
      <c r="B24" s="118"/>
      <c r="C24" s="176" t="s">
        <v>104</v>
      </c>
      <c r="D24" s="176" t="s">
        <v>83</v>
      </c>
      <c r="E24" s="176" t="s">
        <v>105</v>
      </c>
      <c r="F24" s="128" t="s">
        <v>106</v>
      </c>
      <c r="G24" s="118"/>
      <c r="H24" s="118" t="s">
        <v>108</v>
      </c>
      <c r="I24" s="128"/>
      <c r="J24" s="128"/>
      <c r="K24" s="128"/>
      <c r="L24" s="128"/>
      <c r="M24" s="128"/>
      <c r="N24" s="118" t="b">
        <v>0</v>
      </c>
      <c r="O24" s="118" t="b">
        <v>0</v>
      </c>
      <c r="P24" s="118" t="s">
        <v>109</v>
      </c>
      <c r="Q24" s="118"/>
      <c r="R24" s="118"/>
      <c r="S24" s="118"/>
      <c r="T24" s="118"/>
      <c r="U24" s="118"/>
      <c r="V24" s="177"/>
      <c r="W24" s="118" t="s">
        <v>90</v>
      </c>
    </row>
    <row r="25" spans="2:23" ht="15" customHeight="1" x14ac:dyDescent="0.25">
      <c r="B25" s="117"/>
      <c r="C25" s="176" t="s">
        <v>104</v>
      </c>
      <c r="D25" s="107" t="s">
        <v>83</v>
      </c>
      <c r="E25" s="176" t="s">
        <v>110</v>
      </c>
      <c r="F25" s="128" t="s">
        <v>111</v>
      </c>
      <c r="G25" s="118"/>
      <c r="H25" s="118" t="s">
        <v>112</v>
      </c>
      <c r="I25" s="128"/>
      <c r="J25" s="128"/>
      <c r="K25" s="128"/>
      <c r="L25" s="128"/>
      <c r="M25" s="128"/>
      <c r="N25" s="118" t="b">
        <v>0</v>
      </c>
      <c r="O25" s="118" t="b">
        <v>0</v>
      </c>
      <c r="P25" s="118"/>
      <c r="Q25" s="118"/>
      <c r="R25" s="118"/>
      <c r="S25" s="127"/>
      <c r="T25" s="127"/>
      <c r="U25" s="118"/>
      <c r="V25" s="177"/>
      <c r="W25" s="118" t="s">
        <v>90</v>
      </c>
    </row>
    <row r="26" spans="2:23" ht="15" customHeight="1" x14ac:dyDescent="0.25">
      <c r="B26" s="118"/>
      <c r="C26" s="176" t="s">
        <v>104</v>
      </c>
      <c r="D26" s="176" t="s">
        <v>83</v>
      </c>
      <c r="E26" s="176" t="s">
        <v>113</v>
      </c>
      <c r="F26" s="128" t="s">
        <v>114</v>
      </c>
      <c r="G26" s="118"/>
      <c r="H26" s="118" t="s">
        <v>108</v>
      </c>
      <c r="I26" s="128"/>
      <c r="J26" s="128"/>
      <c r="K26" s="128"/>
      <c r="L26" s="128"/>
      <c r="M26" s="128"/>
      <c r="N26" s="118" t="b">
        <v>0</v>
      </c>
      <c r="O26" s="118" t="b">
        <v>0</v>
      </c>
      <c r="P26" s="118" t="s">
        <v>109</v>
      </c>
      <c r="Q26" s="118"/>
      <c r="R26" s="118"/>
      <c r="S26" s="118"/>
      <c r="T26" s="118"/>
      <c r="U26" s="118"/>
      <c r="V26" s="177"/>
      <c r="W26" s="118" t="s">
        <v>90</v>
      </c>
    </row>
    <row r="27" spans="2:23" ht="15" customHeight="1" x14ac:dyDescent="0.25">
      <c r="B27" s="118"/>
      <c r="C27" s="176" t="s">
        <v>104</v>
      </c>
      <c r="D27" s="176" t="s">
        <v>83</v>
      </c>
      <c r="E27" s="176" t="s">
        <v>115</v>
      </c>
      <c r="F27" s="128" t="s">
        <v>116</v>
      </c>
      <c r="G27" s="118"/>
      <c r="H27" s="118" t="s">
        <v>117</v>
      </c>
      <c r="I27" s="128"/>
      <c r="J27" s="128"/>
      <c r="K27" s="128"/>
      <c r="L27" s="128"/>
      <c r="M27" s="128"/>
      <c r="N27" s="118" t="b">
        <v>1</v>
      </c>
      <c r="O27" s="118" t="s">
        <v>118</v>
      </c>
      <c r="P27" s="118" t="s">
        <v>119</v>
      </c>
      <c r="Q27" s="118"/>
      <c r="R27" s="118"/>
      <c r="S27" s="118"/>
      <c r="T27" s="118"/>
      <c r="U27" s="118"/>
      <c r="V27" s="177"/>
      <c r="W27" s="118" t="s">
        <v>90</v>
      </c>
    </row>
    <row r="28" spans="2:23" ht="15" customHeight="1" x14ac:dyDescent="0.25">
      <c r="B28" s="118"/>
      <c r="C28" s="176" t="s">
        <v>104</v>
      </c>
      <c r="D28" s="176" t="s">
        <v>83</v>
      </c>
      <c r="E28" s="176" t="s">
        <v>120</v>
      </c>
      <c r="F28" s="128" t="s">
        <v>121</v>
      </c>
      <c r="G28" s="118"/>
      <c r="H28" s="118" t="s">
        <v>122</v>
      </c>
      <c r="I28" s="128" t="s">
        <v>94</v>
      </c>
      <c r="J28" s="128" t="s">
        <v>123</v>
      </c>
      <c r="K28" s="128" t="s">
        <v>124</v>
      </c>
      <c r="L28" s="128"/>
      <c r="M28" s="128"/>
      <c r="N28" s="118" t="b">
        <v>1</v>
      </c>
      <c r="O28" s="118" t="b">
        <v>0</v>
      </c>
      <c r="P28" s="118" t="s">
        <v>125</v>
      </c>
      <c r="Q28" s="118"/>
      <c r="R28" s="118"/>
      <c r="S28" s="118"/>
      <c r="T28" s="118"/>
      <c r="U28" s="118"/>
      <c r="V28" s="177"/>
      <c r="W28" s="118" t="s">
        <v>90</v>
      </c>
    </row>
    <row r="29" spans="2:23" ht="15" customHeight="1" x14ac:dyDescent="0.25">
      <c r="B29" s="118"/>
      <c r="C29" s="176" t="s">
        <v>104</v>
      </c>
      <c r="D29" s="176" t="s">
        <v>83</v>
      </c>
      <c r="E29" s="176" t="s">
        <v>126</v>
      </c>
      <c r="F29" s="128" t="s">
        <v>127</v>
      </c>
      <c r="G29" s="118"/>
      <c r="H29" s="118" t="s">
        <v>128</v>
      </c>
      <c r="I29" s="128" t="s">
        <v>129</v>
      </c>
      <c r="J29" s="128" t="s">
        <v>130</v>
      </c>
      <c r="K29" s="128" t="s">
        <v>131</v>
      </c>
      <c r="L29" s="128"/>
      <c r="M29" s="128"/>
      <c r="N29" s="118" t="s">
        <v>132</v>
      </c>
      <c r="O29" s="118" t="b">
        <v>0</v>
      </c>
      <c r="P29" s="118" t="s">
        <v>133</v>
      </c>
      <c r="Q29" s="118"/>
      <c r="R29" s="118"/>
      <c r="S29" s="118"/>
      <c r="T29" s="118"/>
      <c r="U29" s="118"/>
      <c r="V29" s="177"/>
      <c r="W29" s="118" t="s">
        <v>90</v>
      </c>
    </row>
    <row r="30" spans="2:23" ht="15" customHeight="1" x14ac:dyDescent="0.25">
      <c r="B30" s="118"/>
      <c r="C30" s="176" t="s">
        <v>104</v>
      </c>
      <c r="D30" s="176" t="s">
        <v>83</v>
      </c>
      <c r="E30" s="176" t="s">
        <v>134</v>
      </c>
      <c r="F30" s="128" t="s">
        <v>135</v>
      </c>
      <c r="G30" s="118"/>
      <c r="H30" s="118" t="s">
        <v>136</v>
      </c>
      <c r="I30" s="128" t="s">
        <v>129</v>
      </c>
      <c r="J30" s="128" t="s">
        <v>137</v>
      </c>
      <c r="K30" s="128" t="s">
        <v>138</v>
      </c>
      <c r="L30" s="128">
        <v>240</v>
      </c>
      <c r="M30" s="128"/>
      <c r="N30" s="118" t="s">
        <v>132</v>
      </c>
      <c r="O30" s="118" t="b">
        <v>0</v>
      </c>
      <c r="P30" s="118" t="s">
        <v>133</v>
      </c>
      <c r="Q30" s="118"/>
      <c r="R30" s="118"/>
      <c r="S30" s="118"/>
      <c r="T30" s="118"/>
      <c r="U30" s="118"/>
      <c r="V30" s="177"/>
      <c r="W30" s="118" t="s">
        <v>90</v>
      </c>
    </row>
    <row r="31" spans="2:23" ht="15" customHeight="1" x14ac:dyDescent="0.25">
      <c r="B31" s="118"/>
      <c r="C31" s="176" t="s">
        <v>104</v>
      </c>
      <c r="D31" s="176" t="s">
        <v>83</v>
      </c>
      <c r="E31" s="176" t="s">
        <v>139</v>
      </c>
      <c r="F31" s="128" t="s">
        <v>140</v>
      </c>
      <c r="G31" s="118"/>
      <c r="H31" s="118" t="s">
        <v>141</v>
      </c>
      <c r="I31" s="128" t="s">
        <v>129</v>
      </c>
      <c r="J31" s="128" t="s">
        <v>142</v>
      </c>
      <c r="K31" s="128" t="s">
        <v>143</v>
      </c>
      <c r="L31" s="128"/>
      <c r="M31" s="128" t="s">
        <v>142</v>
      </c>
      <c r="N31" s="118" t="s">
        <v>132</v>
      </c>
      <c r="O31" s="118" t="b">
        <v>1</v>
      </c>
      <c r="P31" s="118" t="s">
        <v>144</v>
      </c>
      <c r="Q31" s="118"/>
      <c r="R31" s="118"/>
      <c r="S31" s="118"/>
      <c r="T31" s="118"/>
      <c r="U31" s="118"/>
      <c r="V31" s="177"/>
      <c r="W31" s="118" t="s">
        <v>90</v>
      </c>
    </row>
    <row r="32" spans="2:23" ht="15" customHeight="1" x14ac:dyDescent="0.25">
      <c r="B32" s="118"/>
      <c r="C32" s="176" t="s">
        <v>104</v>
      </c>
      <c r="D32" s="176" t="s">
        <v>83</v>
      </c>
      <c r="E32" s="176" t="s">
        <v>145</v>
      </c>
      <c r="F32" s="128" t="s">
        <v>146</v>
      </c>
      <c r="G32" s="118"/>
      <c r="H32" s="118" t="s">
        <v>147</v>
      </c>
      <c r="I32" s="128" t="s">
        <v>129</v>
      </c>
      <c r="J32" s="128" t="s">
        <v>148</v>
      </c>
      <c r="K32" s="128" t="s">
        <v>138</v>
      </c>
      <c r="L32" s="128">
        <v>40</v>
      </c>
      <c r="M32" s="128"/>
      <c r="N32" s="118" t="s">
        <v>132</v>
      </c>
      <c r="O32" s="118" t="b">
        <v>1</v>
      </c>
      <c r="P32" s="118" t="s">
        <v>149</v>
      </c>
      <c r="Q32" s="118"/>
      <c r="R32" s="118"/>
      <c r="S32" s="118"/>
      <c r="T32" s="118"/>
      <c r="U32" s="118"/>
      <c r="V32" s="177"/>
      <c r="W32" s="118" t="s">
        <v>90</v>
      </c>
    </row>
    <row r="33" spans="2:23" ht="15" customHeight="1" x14ac:dyDescent="0.25">
      <c r="B33" s="172"/>
      <c r="C33" s="173" t="s">
        <v>150</v>
      </c>
      <c r="D33" s="174"/>
      <c r="E33" s="174"/>
      <c r="F33" s="173"/>
      <c r="G33" s="172"/>
      <c r="H33" s="172"/>
      <c r="I33" s="173"/>
      <c r="J33" s="173"/>
      <c r="K33" s="173"/>
      <c r="L33" s="173"/>
      <c r="M33" s="173"/>
      <c r="N33" s="172"/>
      <c r="O33" s="172"/>
      <c r="P33" s="172"/>
      <c r="Q33" s="172"/>
      <c r="R33" s="172"/>
      <c r="S33" s="172"/>
      <c r="T33" s="172"/>
      <c r="U33" s="172"/>
      <c r="V33" s="175"/>
      <c r="W33" s="172"/>
    </row>
    <row r="34" spans="2:23" ht="15" customHeight="1" x14ac:dyDescent="0.25">
      <c r="B34" s="118"/>
      <c r="C34" s="176" t="s">
        <v>150</v>
      </c>
      <c r="D34" s="176" t="s">
        <v>83</v>
      </c>
      <c r="E34" s="176" t="s">
        <v>151</v>
      </c>
      <c r="F34" s="128" t="s">
        <v>152</v>
      </c>
      <c r="G34" s="118"/>
      <c r="H34" s="118" t="s">
        <v>153</v>
      </c>
      <c r="I34" s="128"/>
      <c r="J34" s="128"/>
      <c r="K34" s="128"/>
      <c r="L34" s="128"/>
      <c r="M34" s="128"/>
      <c r="N34" s="118" t="s">
        <v>154</v>
      </c>
      <c r="O34" s="118" t="s">
        <v>155</v>
      </c>
      <c r="P34" s="118" t="s">
        <v>156</v>
      </c>
      <c r="Q34" s="118"/>
      <c r="R34" s="118"/>
      <c r="S34" s="118"/>
      <c r="T34" s="118"/>
      <c r="U34" s="118"/>
      <c r="V34" s="177"/>
      <c r="W34" s="118" t="s">
        <v>90</v>
      </c>
    </row>
    <row r="35" spans="2:23" ht="15" customHeight="1" x14ac:dyDescent="0.25">
      <c r="B35" s="117"/>
      <c r="C35" s="176" t="s">
        <v>150</v>
      </c>
      <c r="D35" s="107" t="s">
        <v>83</v>
      </c>
      <c r="E35" s="176" t="s">
        <v>157</v>
      </c>
      <c r="F35" s="128" t="s">
        <v>158</v>
      </c>
      <c r="G35" s="118"/>
      <c r="H35" s="118" t="s">
        <v>159</v>
      </c>
      <c r="I35" s="128"/>
      <c r="J35" s="128"/>
      <c r="K35" s="128"/>
      <c r="L35" s="128"/>
      <c r="M35" s="128"/>
      <c r="N35" s="118" t="s">
        <v>160</v>
      </c>
      <c r="O35" s="118" t="s">
        <v>161</v>
      </c>
      <c r="P35" s="118" t="s">
        <v>162</v>
      </c>
      <c r="Q35" s="118"/>
      <c r="R35" s="118"/>
      <c r="S35" s="118"/>
      <c r="T35" s="118"/>
      <c r="U35" s="118"/>
      <c r="V35" s="177"/>
      <c r="W35" s="118" t="s">
        <v>90</v>
      </c>
    </row>
    <row r="36" spans="2:23" ht="15" customHeight="1" x14ac:dyDescent="0.25">
      <c r="B36" s="118"/>
      <c r="C36" s="176" t="s">
        <v>150</v>
      </c>
      <c r="D36" s="176" t="s">
        <v>83</v>
      </c>
      <c r="E36" s="176" t="s">
        <v>163</v>
      </c>
      <c r="F36" s="128" t="s">
        <v>164</v>
      </c>
      <c r="G36" s="118"/>
      <c r="H36" s="118" t="s">
        <v>165</v>
      </c>
      <c r="I36" s="128"/>
      <c r="J36" s="128"/>
      <c r="K36" s="128"/>
      <c r="L36" s="128"/>
      <c r="M36" s="128"/>
      <c r="N36" s="118" t="b">
        <v>1</v>
      </c>
      <c r="O36" s="118" t="b">
        <v>1</v>
      </c>
      <c r="P36" s="118" t="s">
        <v>166</v>
      </c>
      <c r="Q36" s="118"/>
      <c r="R36" s="118"/>
      <c r="S36" s="118"/>
      <c r="T36" s="118"/>
      <c r="U36" s="118"/>
      <c r="V36" s="177"/>
      <c r="W36" s="118" t="s">
        <v>90</v>
      </c>
    </row>
    <row r="37" spans="2:23" ht="15" customHeight="1" x14ac:dyDescent="0.25">
      <c r="B37" s="118"/>
      <c r="C37" s="176" t="s">
        <v>150</v>
      </c>
      <c r="D37" s="176" t="s">
        <v>83</v>
      </c>
      <c r="E37" s="176" t="s">
        <v>167</v>
      </c>
      <c r="F37" s="128"/>
      <c r="G37" s="118"/>
      <c r="H37" s="118" t="s">
        <v>168</v>
      </c>
      <c r="I37" s="128"/>
      <c r="J37" s="128"/>
      <c r="K37" s="128"/>
      <c r="L37" s="128"/>
      <c r="M37" s="128"/>
      <c r="N37" s="118" t="b">
        <v>0</v>
      </c>
      <c r="O37" s="118" t="b">
        <v>0</v>
      </c>
      <c r="P37" s="118" t="s">
        <v>169</v>
      </c>
      <c r="Q37" s="118"/>
      <c r="R37" s="118"/>
      <c r="S37" s="118"/>
      <c r="T37" s="118"/>
      <c r="U37" s="118"/>
      <c r="V37" s="177"/>
      <c r="W37" s="118" t="s">
        <v>90</v>
      </c>
    </row>
    <row r="38" spans="2:23" ht="15" customHeight="1" x14ac:dyDescent="0.25">
      <c r="B38" s="172"/>
      <c r="C38" s="173" t="s">
        <v>170</v>
      </c>
      <c r="D38" s="174"/>
      <c r="E38" s="174"/>
      <c r="F38" s="173"/>
      <c r="G38" s="172"/>
      <c r="H38" s="172"/>
      <c r="I38" s="173"/>
      <c r="J38" s="173"/>
      <c r="K38" s="173"/>
      <c r="L38" s="173"/>
      <c r="M38" s="173"/>
      <c r="N38" s="172"/>
      <c r="O38" s="172"/>
      <c r="P38" s="172"/>
      <c r="Q38" s="172"/>
      <c r="R38" s="172"/>
      <c r="S38" s="172"/>
      <c r="T38" s="172"/>
      <c r="U38" s="172"/>
      <c r="V38" s="175"/>
      <c r="W38" s="172"/>
    </row>
    <row r="39" spans="2:23" ht="15" customHeight="1" x14ac:dyDescent="0.25">
      <c r="B39" s="118"/>
      <c r="C39" s="176" t="s">
        <v>170</v>
      </c>
      <c r="D39" s="176" t="s">
        <v>83</v>
      </c>
      <c r="E39" s="176" t="s">
        <v>171</v>
      </c>
      <c r="F39" s="128" t="s">
        <v>172</v>
      </c>
      <c r="G39" s="118"/>
      <c r="H39" s="118" t="s">
        <v>173</v>
      </c>
      <c r="I39" s="128"/>
      <c r="J39" s="128"/>
      <c r="K39" s="128"/>
      <c r="L39" s="128"/>
      <c r="M39" s="128"/>
      <c r="N39" s="118" t="b">
        <v>0</v>
      </c>
      <c r="O39" s="118" t="b">
        <v>0</v>
      </c>
      <c r="P39" s="118"/>
      <c r="Q39" s="118"/>
      <c r="R39" s="118"/>
      <c r="S39" s="118"/>
      <c r="T39" s="118"/>
      <c r="U39" s="118"/>
      <c r="V39" s="177"/>
      <c r="W39" s="118" t="s">
        <v>90</v>
      </c>
    </row>
    <row r="40" spans="2:23" ht="15" customHeight="1" x14ac:dyDescent="0.25">
      <c r="B40" s="118"/>
      <c r="C40" s="176" t="s">
        <v>170</v>
      </c>
      <c r="D40" s="176" t="s">
        <v>83</v>
      </c>
      <c r="E40" s="176" t="s">
        <v>174</v>
      </c>
      <c r="F40" s="128" t="s">
        <v>175</v>
      </c>
      <c r="G40" s="118"/>
      <c r="H40" s="118" t="s">
        <v>176</v>
      </c>
      <c r="I40" s="128"/>
      <c r="J40" s="128"/>
      <c r="K40" s="128"/>
      <c r="L40" s="128"/>
      <c r="M40" s="128"/>
      <c r="N40" s="118" t="b">
        <v>0</v>
      </c>
      <c r="O40" s="118" t="b">
        <v>0</v>
      </c>
      <c r="P40" s="118"/>
      <c r="Q40" s="118"/>
      <c r="R40" s="118"/>
      <c r="S40" s="118"/>
      <c r="T40" s="118"/>
      <c r="U40" s="118"/>
      <c r="V40" s="177"/>
      <c r="W40" s="118" t="s">
        <v>90</v>
      </c>
    </row>
    <row r="41" spans="2:23" ht="15" customHeight="1" x14ac:dyDescent="0.25">
      <c r="B41" s="172"/>
      <c r="C41" s="173" t="s">
        <v>177</v>
      </c>
      <c r="D41" s="174"/>
      <c r="E41" s="174"/>
      <c r="F41" s="173"/>
      <c r="G41" s="172"/>
      <c r="H41" s="172"/>
      <c r="I41" s="173"/>
      <c r="J41" s="173"/>
      <c r="K41" s="173"/>
      <c r="L41" s="173"/>
      <c r="M41" s="173"/>
      <c r="N41" s="172"/>
      <c r="O41" s="172"/>
      <c r="P41" s="172"/>
      <c r="Q41" s="172"/>
      <c r="R41" s="172"/>
      <c r="S41" s="172"/>
      <c r="T41" s="172"/>
      <c r="U41" s="172"/>
      <c r="V41" s="175"/>
      <c r="W41" s="172"/>
    </row>
    <row r="42" spans="2:23" ht="15" customHeight="1" x14ac:dyDescent="0.25">
      <c r="B42" s="118"/>
      <c r="C42" s="176" t="s">
        <v>177</v>
      </c>
      <c r="D42" s="176" t="s">
        <v>83</v>
      </c>
      <c r="E42" s="176" t="s">
        <v>178</v>
      </c>
      <c r="F42" s="128"/>
      <c r="G42" s="118"/>
      <c r="H42" s="118" t="s">
        <v>179</v>
      </c>
      <c r="I42" s="128"/>
      <c r="J42" s="128"/>
      <c r="K42" s="128"/>
      <c r="L42" s="128"/>
      <c r="M42" s="128"/>
      <c r="N42" s="118" t="b">
        <v>0</v>
      </c>
      <c r="O42" s="118" t="b">
        <v>0</v>
      </c>
      <c r="P42" s="118" t="s">
        <v>180</v>
      </c>
      <c r="Q42" s="118"/>
      <c r="R42" s="118"/>
      <c r="S42" s="118"/>
      <c r="T42" s="118"/>
      <c r="U42" s="118"/>
      <c r="V42" s="177"/>
      <c r="W42" s="118" t="s">
        <v>90</v>
      </c>
    </row>
    <row r="43" spans="2:23" ht="15" customHeight="1" x14ac:dyDescent="0.25">
      <c r="B43" s="118"/>
      <c r="C43" s="176" t="s">
        <v>177</v>
      </c>
      <c r="D43" s="176" t="s">
        <v>83</v>
      </c>
      <c r="E43" s="176" t="s">
        <v>181</v>
      </c>
      <c r="F43" s="128" t="s">
        <v>182</v>
      </c>
      <c r="G43" s="118"/>
      <c r="H43" s="118" t="s">
        <v>183</v>
      </c>
      <c r="I43" s="128"/>
      <c r="J43" s="128"/>
      <c r="K43" s="128"/>
      <c r="L43" s="128"/>
      <c r="M43" s="128"/>
      <c r="N43" s="118" t="b">
        <v>1</v>
      </c>
      <c r="O43" s="118" t="b">
        <v>1</v>
      </c>
      <c r="P43" s="118" t="s">
        <v>184</v>
      </c>
      <c r="Q43" s="118" t="s">
        <v>185</v>
      </c>
      <c r="R43" s="118"/>
      <c r="S43" s="118"/>
      <c r="T43" s="118"/>
      <c r="U43" s="118"/>
      <c r="V43" s="177"/>
      <c r="W43" s="118" t="s">
        <v>90</v>
      </c>
    </row>
    <row r="44" spans="2:23" ht="15" customHeight="1" x14ac:dyDescent="0.25">
      <c r="B44" s="118"/>
      <c r="C44" s="176" t="s">
        <v>177</v>
      </c>
      <c r="D44" s="176" t="s">
        <v>83</v>
      </c>
      <c r="E44" s="176" t="s">
        <v>186</v>
      </c>
      <c r="F44" s="128"/>
      <c r="G44" s="118"/>
      <c r="H44" s="118" t="s">
        <v>187</v>
      </c>
      <c r="I44" s="128"/>
      <c r="J44" s="128"/>
      <c r="K44" s="128"/>
      <c r="L44" s="128"/>
      <c r="M44" s="128"/>
      <c r="N44" s="118" t="b">
        <v>1</v>
      </c>
      <c r="O44" s="118" t="b">
        <v>1</v>
      </c>
      <c r="P44" s="118" t="s">
        <v>188</v>
      </c>
      <c r="Q44" s="118" t="s">
        <v>189</v>
      </c>
      <c r="R44" s="118"/>
      <c r="S44" s="118"/>
      <c r="T44" s="118"/>
      <c r="U44" s="118"/>
      <c r="V44" s="177"/>
      <c r="W44" s="118" t="s">
        <v>90</v>
      </c>
    </row>
    <row r="45" spans="2:23" ht="15" customHeight="1" x14ac:dyDescent="0.25">
      <c r="B45" s="118"/>
      <c r="C45" s="176" t="s">
        <v>177</v>
      </c>
      <c r="D45" s="176" t="s">
        <v>83</v>
      </c>
      <c r="E45" s="176" t="s">
        <v>190</v>
      </c>
      <c r="F45" s="128" t="s">
        <v>191</v>
      </c>
      <c r="G45" s="118"/>
      <c r="H45" s="118" t="s">
        <v>192</v>
      </c>
      <c r="I45" s="128"/>
      <c r="J45" s="128"/>
      <c r="K45" s="128"/>
      <c r="L45" s="128"/>
      <c r="M45" s="128"/>
      <c r="N45" s="118" t="b">
        <v>1</v>
      </c>
      <c r="O45" s="118" t="b">
        <v>1</v>
      </c>
      <c r="P45" s="118" t="s">
        <v>193</v>
      </c>
      <c r="Q45" s="118" t="s">
        <v>194</v>
      </c>
      <c r="R45" s="118"/>
      <c r="S45" s="118"/>
      <c r="T45" s="118"/>
      <c r="U45" s="118"/>
      <c r="V45" s="177"/>
      <c r="W45" s="118" t="s">
        <v>90</v>
      </c>
    </row>
    <row r="46" spans="2:23" ht="15" customHeight="1" x14ac:dyDescent="0.25">
      <c r="B46" s="118"/>
      <c r="C46" s="176" t="s">
        <v>177</v>
      </c>
      <c r="D46" s="176" t="s">
        <v>83</v>
      </c>
      <c r="E46" s="176" t="s">
        <v>195</v>
      </c>
      <c r="F46" s="128" t="s">
        <v>196</v>
      </c>
      <c r="G46" s="118"/>
      <c r="H46" s="118" t="s">
        <v>197</v>
      </c>
      <c r="I46" s="128"/>
      <c r="J46" s="128"/>
      <c r="K46" s="128"/>
      <c r="L46" s="128"/>
      <c r="M46" s="128"/>
      <c r="N46" s="118" t="b">
        <v>1</v>
      </c>
      <c r="O46" s="118" t="b">
        <v>1</v>
      </c>
      <c r="P46" s="118" t="s">
        <v>198</v>
      </c>
      <c r="Q46" s="118" t="s">
        <v>199</v>
      </c>
      <c r="R46" s="118"/>
      <c r="S46" s="118"/>
      <c r="T46" s="118"/>
      <c r="U46" s="118"/>
      <c r="V46" s="177"/>
      <c r="W46" s="118" t="s">
        <v>90</v>
      </c>
    </row>
    <row r="47" spans="2:23" ht="15" customHeight="1" x14ac:dyDescent="0.25">
      <c r="B47" s="118"/>
      <c r="C47" s="176" t="s">
        <v>177</v>
      </c>
      <c r="D47" s="176" t="s">
        <v>83</v>
      </c>
      <c r="E47" s="176" t="s">
        <v>200</v>
      </c>
      <c r="F47" s="128" t="s">
        <v>201</v>
      </c>
      <c r="G47" s="118"/>
      <c r="H47" s="118" t="s">
        <v>202</v>
      </c>
      <c r="I47" s="128"/>
      <c r="J47" s="128"/>
      <c r="K47" s="128"/>
      <c r="L47" s="128"/>
      <c r="M47" s="128"/>
      <c r="N47" s="118" t="b">
        <v>1</v>
      </c>
      <c r="O47" s="118" t="b">
        <v>1</v>
      </c>
      <c r="P47" s="118" t="s">
        <v>203</v>
      </c>
      <c r="Q47" s="118"/>
      <c r="R47" s="118"/>
      <c r="S47" s="118"/>
      <c r="T47" s="118"/>
      <c r="U47" s="118"/>
      <c r="V47" s="177"/>
      <c r="W47" s="118" t="s">
        <v>90</v>
      </c>
    </row>
    <row r="48" spans="2:23" ht="15" customHeight="1" x14ac:dyDescent="0.25">
      <c r="B48" s="118"/>
      <c r="C48" s="176" t="s">
        <v>177</v>
      </c>
      <c r="D48" s="176" t="s">
        <v>83</v>
      </c>
      <c r="E48" s="176" t="s">
        <v>204</v>
      </c>
      <c r="F48" s="128" t="s">
        <v>205</v>
      </c>
      <c r="G48" s="118"/>
      <c r="H48" s="118" t="s">
        <v>206</v>
      </c>
      <c r="I48" s="128"/>
      <c r="J48" s="128"/>
      <c r="K48" s="128"/>
      <c r="L48" s="128"/>
      <c r="M48" s="128"/>
      <c r="N48" s="118" t="b">
        <v>1</v>
      </c>
      <c r="O48" s="118" t="b">
        <v>1</v>
      </c>
      <c r="P48" s="118" t="s">
        <v>207</v>
      </c>
      <c r="Q48" s="118" t="s">
        <v>208</v>
      </c>
      <c r="R48" s="118"/>
      <c r="S48" s="118"/>
      <c r="T48" s="118"/>
      <c r="U48" s="118"/>
      <c r="V48" s="177"/>
      <c r="W48" s="118" t="s">
        <v>90</v>
      </c>
    </row>
    <row r="49" spans="2:23" ht="15" customHeight="1" x14ac:dyDescent="0.25">
      <c r="B49" s="118"/>
      <c r="C49" s="176" t="s">
        <v>177</v>
      </c>
      <c r="D49" s="176" t="s">
        <v>83</v>
      </c>
      <c r="E49" s="176" t="s">
        <v>209</v>
      </c>
      <c r="F49" s="128" t="s">
        <v>210</v>
      </c>
      <c r="G49" s="118"/>
      <c r="H49" s="118" t="s">
        <v>211</v>
      </c>
      <c r="I49" s="128"/>
      <c r="J49" s="128"/>
      <c r="K49" s="128"/>
      <c r="L49" s="128"/>
      <c r="M49" s="128"/>
      <c r="N49" s="118" t="b">
        <v>1</v>
      </c>
      <c r="O49" s="118" t="b">
        <v>1</v>
      </c>
      <c r="P49" s="118" t="s">
        <v>212</v>
      </c>
      <c r="Q49" s="118" t="s">
        <v>213</v>
      </c>
      <c r="R49" s="118"/>
      <c r="S49" s="118"/>
      <c r="T49" s="118"/>
      <c r="U49" s="118"/>
      <c r="V49" s="177"/>
      <c r="W49" s="118" t="s">
        <v>90</v>
      </c>
    </row>
    <row r="50" spans="2:23" ht="15" customHeight="1" x14ac:dyDescent="0.25">
      <c r="B50" s="118"/>
      <c r="C50" s="176" t="s">
        <v>177</v>
      </c>
      <c r="D50" s="176" t="s">
        <v>83</v>
      </c>
      <c r="E50" s="176" t="s">
        <v>214</v>
      </c>
      <c r="F50" s="128" t="s">
        <v>215</v>
      </c>
      <c r="G50" s="118"/>
      <c r="H50" s="118" t="s">
        <v>216</v>
      </c>
      <c r="I50" s="128"/>
      <c r="J50" s="128"/>
      <c r="K50" s="128"/>
      <c r="L50" s="128"/>
      <c r="M50" s="128"/>
      <c r="N50" s="118" t="b">
        <v>1</v>
      </c>
      <c r="O50" s="118" t="b">
        <v>1</v>
      </c>
      <c r="P50" s="118" t="s">
        <v>217</v>
      </c>
      <c r="Q50" s="118"/>
      <c r="R50" s="118"/>
      <c r="S50" s="118"/>
      <c r="T50" s="118"/>
      <c r="U50" s="118"/>
      <c r="V50" s="177"/>
      <c r="W50" s="118" t="s">
        <v>90</v>
      </c>
    </row>
    <row r="51" spans="2:23" ht="15" customHeight="1" x14ac:dyDescent="0.25">
      <c r="B51" s="172"/>
      <c r="C51" s="173" t="s">
        <v>218</v>
      </c>
      <c r="D51" s="174"/>
      <c r="E51" s="174"/>
      <c r="F51" s="173"/>
      <c r="G51" s="172"/>
      <c r="H51" s="172"/>
      <c r="I51" s="173"/>
      <c r="J51" s="173"/>
      <c r="K51" s="173"/>
      <c r="L51" s="173"/>
      <c r="M51" s="173"/>
      <c r="N51" s="172"/>
      <c r="O51" s="172"/>
      <c r="P51" s="172"/>
      <c r="Q51" s="172"/>
      <c r="R51" s="172"/>
      <c r="S51" s="172"/>
      <c r="T51" s="172"/>
      <c r="U51" s="172"/>
      <c r="V51" s="175"/>
      <c r="W51" s="172"/>
    </row>
    <row r="52" spans="2:23" ht="15" customHeight="1" x14ac:dyDescent="0.25">
      <c r="B52" s="118"/>
      <c r="C52" s="176" t="s">
        <v>218</v>
      </c>
      <c r="D52" s="176" t="s">
        <v>83</v>
      </c>
      <c r="E52" s="176" t="s">
        <v>219</v>
      </c>
      <c r="F52" s="128" t="s">
        <v>220</v>
      </c>
      <c r="G52" s="118"/>
      <c r="H52" s="118" t="s">
        <v>221</v>
      </c>
      <c r="I52" s="128"/>
      <c r="J52" s="128"/>
      <c r="K52" s="128"/>
      <c r="L52" s="128"/>
      <c r="M52" s="128"/>
      <c r="N52" s="118" t="b">
        <v>1</v>
      </c>
      <c r="O52" s="118" t="s">
        <v>222</v>
      </c>
      <c r="P52" s="118"/>
      <c r="Q52" s="118"/>
      <c r="R52" s="118"/>
      <c r="S52" s="118"/>
      <c r="T52" s="118"/>
      <c r="U52" s="118"/>
      <c r="V52" s="177"/>
      <c r="W52" s="118" t="s">
        <v>90</v>
      </c>
    </row>
    <row r="53" spans="2:23" ht="15" customHeight="1" x14ac:dyDescent="0.25">
      <c r="B53" s="172"/>
      <c r="C53" s="173" t="s">
        <v>223</v>
      </c>
      <c r="D53" s="174"/>
      <c r="E53" s="174"/>
      <c r="F53" s="173"/>
      <c r="G53" s="172"/>
      <c r="H53" s="172"/>
      <c r="I53" s="173"/>
      <c r="J53" s="173"/>
      <c r="K53" s="173"/>
      <c r="L53" s="173"/>
      <c r="M53" s="173"/>
      <c r="N53" s="172"/>
      <c r="O53" s="172"/>
      <c r="P53" s="172"/>
      <c r="Q53" s="172"/>
      <c r="R53" s="172"/>
      <c r="S53" s="172"/>
      <c r="T53" s="172"/>
      <c r="U53" s="172"/>
      <c r="V53" s="175"/>
      <c r="W53" s="172"/>
    </row>
    <row r="54" spans="2:23" ht="15" customHeight="1" x14ac:dyDescent="0.25">
      <c r="B54" s="118"/>
      <c r="C54" s="176" t="s">
        <v>223</v>
      </c>
      <c r="D54" s="176" t="s">
        <v>83</v>
      </c>
      <c r="E54" s="176" t="s">
        <v>224</v>
      </c>
      <c r="F54" s="128" t="s">
        <v>225</v>
      </c>
      <c r="G54" s="118"/>
      <c r="H54" s="118" t="s">
        <v>226</v>
      </c>
      <c r="I54" s="128"/>
      <c r="J54" s="128"/>
      <c r="K54" s="128"/>
      <c r="L54" s="128"/>
      <c r="M54" s="128"/>
      <c r="N54" s="118" t="b">
        <v>0</v>
      </c>
      <c r="O54" s="118" t="b">
        <v>0</v>
      </c>
      <c r="P54" s="118" t="s">
        <v>107</v>
      </c>
      <c r="Q54" s="118"/>
      <c r="R54" s="118"/>
      <c r="S54" s="118"/>
      <c r="T54" s="118"/>
      <c r="U54" s="118"/>
      <c r="V54" s="177"/>
      <c r="W54" s="118" t="s">
        <v>90</v>
      </c>
    </row>
    <row r="55" spans="2:23" ht="15" customHeight="1" x14ac:dyDescent="0.25">
      <c r="B55" s="117"/>
      <c r="C55" s="176" t="s">
        <v>223</v>
      </c>
      <c r="D55" s="107" t="s">
        <v>83</v>
      </c>
      <c r="E55" s="176" t="s">
        <v>224</v>
      </c>
      <c r="F55" s="128" t="s">
        <v>225</v>
      </c>
      <c r="G55" s="118"/>
      <c r="H55" s="118" t="s">
        <v>226</v>
      </c>
      <c r="I55" s="128"/>
      <c r="J55" s="128"/>
      <c r="K55" s="128"/>
      <c r="L55" s="128"/>
      <c r="M55" s="128"/>
      <c r="N55" s="118" t="b">
        <v>0</v>
      </c>
      <c r="O55" s="118" t="b">
        <v>0</v>
      </c>
      <c r="P55" s="118" t="s">
        <v>109</v>
      </c>
      <c r="Q55" s="118" t="s">
        <v>227</v>
      </c>
      <c r="R55" s="118"/>
      <c r="S55" s="118"/>
      <c r="T55" s="154"/>
      <c r="U55" s="118"/>
      <c r="V55" s="177"/>
      <c r="W55" s="118" t="s">
        <v>90</v>
      </c>
    </row>
    <row r="56" spans="2:23" ht="15" customHeight="1" x14ac:dyDescent="0.25">
      <c r="B56" s="172"/>
      <c r="C56" s="173" t="s">
        <v>228</v>
      </c>
      <c r="D56" s="174"/>
      <c r="E56" s="174"/>
      <c r="F56" s="173"/>
      <c r="G56" s="172"/>
      <c r="H56" s="172"/>
      <c r="I56" s="173"/>
      <c r="J56" s="173"/>
      <c r="K56" s="173"/>
      <c r="L56" s="173"/>
      <c r="M56" s="173"/>
      <c r="N56" s="172"/>
      <c r="O56" s="172"/>
      <c r="P56" s="172"/>
      <c r="Q56" s="172"/>
      <c r="R56" s="172"/>
      <c r="S56" s="172"/>
      <c r="T56" s="172"/>
      <c r="U56" s="172"/>
      <c r="V56" s="175"/>
      <c r="W56" s="172"/>
    </row>
    <row r="57" spans="2:23" ht="15" customHeight="1" x14ac:dyDescent="0.25">
      <c r="B57" s="118"/>
      <c r="C57" s="176" t="s">
        <v>228</v>
      </c>
      <c r="D57" s="176" t="s">
        <v>83</v>
      </c>
      <c r="E57" s="176" t="s">
        <v>229</v>
      </c>
      <c r="F57" s="128" t="s">
        <v>230</v>
      </c>
      <c r="G57" s="118"/>
      <c r="H57" s="118"/>
      <c r="I57" s="128"/>
      <c r="J57" s="128"/>
      <c r="K57" s="128"/>
      <c r="L57" s="128"/>
      <c r="M57" s="128"/>
      <c r="N57" s="118" t="b">
        <v>0</v>
      </c>
      <c r="O57" s="118" t="b">
        <v>0</v>
      </c>
      <c r="P57" s="118" t="b">
        <v>1</v>
      </c>
      <c r="Q57" s="118"/>
      <c r="R57" s="118"/>
      <c r="S57" s="118"/>
      <c r="T57" s="118"/>
      <c r="U57" s="118"/>
      <c r="V57" s="177"/>
      <c r="W57" s="118" t="s">
        <v>90</v>
      </c>
    </row>
    <row r="58" spans="2:23" ht="15" customHeight="1" x14ac:dyDescent="0.25">
      <c r="B58" s="118"/>
      <c r="C58" s="176" t="s">
        <v>228</v>
      </c>
      <c r="D58" s="176" t="s">
        <v>83</v>
      </c>
      <c r="E58" s="176" t="s">
        <v>231</v>
      </c>
      <c r="F58" s="128" t="s">
        <v>111</v>
      </c>
      <c r="G58" s="118"/>
      <c r="H58" s="118" t="s">
        <v>232</v>
      </c>
      <c r="I58" s="128"/>
      <c r="J58" s="128"/>
      <c r="K58" s="128"/>
      <c r="L58" s="128"/>
      <c r="M58" s="128"/>
      <c r="N58" s="118" t="b">
        <v>0</v>
      </c>
      <c r="O58" s="118" t="b">
        <v>0</v>
      </c>
      <c r="P58" s="118"/>
      <c r="Q58" s="118"/>
      <c r="R58" s="118"/>
      <c r="S58" s="118"/>
      <c r="T58" s="118"/>
      <c r="U58" s="118"/>
      <c r="V58" s="177"/>
      <c r="W58" s="118" t="s">
        <v>90</v>
      </c>
    </row>
    <row r="59" spans="2:23" ht="15" customHeight="1" x14ac:dyDescent="0.25">
      <c r="B59" s="118"/>
      <c r="C59" s="176" t="s">
        <v>228</v>
      </c>
      <c r="D59" s="176" t="s">
        <v>83</v>
      </c>
      <c r="E59" s="176" t="s">
        <v>233</v>
      </c>
      <c r="F59" s="128" t="s">
        <v>234</v>
      </c>
      <c r="G59" s="118"/>
      <c r="H59" s="118" t="s">
        <v>235</v>
      </c>
      <c r="I59" s="128" t="s">
        <v>236</v>
      </c>
      <c r="J59" s="128" t="s">
        <v>237</v>
      </c>
      <c r="K59" s="128" t="s">
        <v>238</v>
      </c>
      <c r="L59" s="128">
        <v>1333</v>
      </c>
      <c r="M59" s="128"/>
      <c r="N59" s="118" t="b">
        <v>1</v>
      </c>
      <c r="O59" s="118" t="b">
        <v>0</v>
      </c>
      <c r="P59" s="118"/>
      <c r="Q59" s="118"/>
      <c r="R59" s="118"/>
      <c r="S59" s="118"/>
      <c r="T59" s="118"/>
      <c r="U59" s="118"/>
      <c r="V59" s="177"/>
      <c r="W59" s="118" t="s">
        <v>90</v>
      </c>
    </row>
    <row r="60" spans="2:23" ht="15" customHeight="1" x14ac:dyDescent="0.25">
      <c r="B60" s="118"/>
      <c r="C60" s="176" t="s">
        <v>228</v>
      </c>
      <c r="D60" s="176" t="s">
        <v>83</v>
      </c>
      <c r="E60" s="176" t="s">
        <v>115</v>
      </c>
      <c r="F60" s="128" t="s">
        <v>116</v>
      </c>
      <c r="G60" s="118"/>
      <c r="H60" s="118" t="s">
        <v>239</v>
      </c>
      <c r="I60" s="128" t="s">
        <v>240</v>
      </c>
      <c r="J60" s="128" t="s">
        <v>241</v>
      </c>
      <c r="K60" s="128" t="s">
        <v>100</v>
      </c>
      <c r="L60" s="128"/>
      <c r="M60" s="128"/>
      <c r="N60" s="118" t="b">
        <v>1</v>
      </c>
      <c r="O60" s="118" t="b">
        <v>0</v>
      </c>
      <c r="P60" s="178" t="s">
        <v>242</v>
      </c>
      <c r="Q60" s="118"/>
      <c r="R60" s="118"/>
      <c r="S60" s="118"/>
      <c r="T60" s="118"/>
      <c r="U60" s="118"/>
      <c r="V60" s="177"/>
      <c r="W60" s="118" t="s">
        <v>90</v>
      </c>
    </row>
    <row r="61" spans="2:23" ht="15" customHeight="1" x14ac:dyDescent="0.25">
      <c r="B61" s="172"/>
      <c r="C61" s="173" t="s">
        <v>243</v>
      </c>
      <c r="D61" s="179"/>
      <c r="E61" s="174"/>
      <c r="F61" s="173"/>
      <c r="G61" s="172"/>
      <c r="H61" s="172"/>
      <c r="I61" s="173"/>
      <c r="J61" s="173"/>
      <c r="K61" s="173"/>
      <c r="L61" s="173"/>
      <c r="M61" s="173"/>
      <c r="N61" s="172"/>
      <c r="O61" s="172"/>
      <c r="P61" s="180"/>
      <c r="Q61" s="172"/>
      <c r="R61" s="172"/>
      <c r="S61" s="172"/>
      <c r="T61" s="172"/>
      <c r="U61" s="172"/>
      <c r="V61" s="175"/>
      <c r="W61" s="172"/>
    </row>
    <row r="62" spans="2:23" ht="15" customHeight="1" x14ac:dyDescent="0.25">
      <c r="B62" s="118"/>
      <c r="C62" s="176" t="s">
        <v>243</v>
      </c>
      <c r="D62" s="176" t="s">
        <v>83</v>
      </c>
      <c r="E62" s="176" t="s">
        <v>244</v>
      </c>
      <c r="F62" s="128" t="s">
        <v>245</v>
      </c>
      <c r="G62" s="181"/>
      <c r="H62" s="118" t="s">
        <v>246</v>
      </c>
      <c r="I62" s="128"/>
      <c r="J62" s="128"/>
      <c r="K62" s="128"/>
      <c r="L62" s="128"/>
      <c r="M62" s="128"/>
      <c r="N62" s="118" t="s">
        <v>247</v>
      </c>
      <c r="O62" s="118" t="b">
        <v>1</v>
      </c>
      <c r="P62" s="178"/>
      <c r="Q62" s="118"/>
      <c r="R62" s="118"/>
      <c r="S62" s="118"/>
      <c r="T62" s="118"/>
      <c r="U62" s="181"/>
      <c r="V62" s="177"/>
      <c r="W62" s="118" t="s">
        <v>90</v>
      </c>
    </row>
    <row r="63" spans="2:23" ht="15" customHeight="1" x14ac:dyDescent="0.25">
      <c r="B63" s="118"/>
      <c r="C63" s="176" t="s">
        <v>243</v>
      </c>
      <c r="D63" s="176" t="s">
        <v>83</v>
      </c>
      <c r="E63" s="176" t="s">
        <v>248</v>
      </c>
      <c r="F63" s="128" t="s">
        <v>249</v>
      </c>
      <c r="G63" s="118"/>
      <c r="H63" s="118" t="s">
        <v>250</v>
      </c>
      <c r="I63" s="128" t="s">
        <v>94</v>
      </c>
      <c r="J63" s="128" t="s">
        <v>251</v>
      </c>
      <c r="K63" s="128" t="s">
        <v>252</v>
      </c>
      <c r="L63" s="128"/>
      <c r="M63" s="128"/>
      <c r="N63" s="118" t="b">
        <v>0</v>
      </c>
      <c r="O63" s="118" t="b">
        <v>0</v>
      </c>
      <c r="P63" s="178"/>
      <c r="Q63" s="118"/>
      <c r="R63" s="118"/>
      <c r="S63" s="118"/>
      <c r="T63" s="118"/>
      <c r="U63" s="118"/>
      <c r="V63" s="177"/>
      <c r="W63" s="118" t="s">
        <v>90</v>
      </c>
    </row>
    <row r="64" spans="2:23" ht="15" customHeight="1" x14ac:dyDescent="0.25">
      <c r="B64" s="118"/>
      <c r="C64" s="176" t="s">
        <v>243</v>
      </c>
      <c r="D64" s="176" t="s">
        <v>83</v>
      </c>
      <c r="E64" s="176" t="s">
        <v>253</v>
      </c>
      <c r="F64" s="128" t="s">
        <v>254</v>
      </c>
      <c r="G64" s="118"/>
      <c r="H64" s="118" t="s">
        <v>255</v>
      </c>
      <c r="I64" s="128"/>
      <c r="J64" s="128"/>
      <c r="K64" s="128"/>
      <c r="L64" s="128"/>
      <c r="M64" s="128"/>
      <c r="N64" s="118" t="s">
        <v>256</v>
      </c>
      <c r="O64" s="118" t="b">
        <v>1</v>
      </c>
      <c r="P64" s="178"/>
      <c r="Q64" s="118"/>
      <c r="R64" s="118"/>
      <c r="S64" s="118"/>
      <c r="T64" s="118"/>
      <c r="U64" s="118"/>
      <c r="V64" s="177"/>
      <c r="W64" s="118" t="s">
        <v>90</v>
      </c>
    </row>
    <row r="65" spans="2:23" ht="15" customHeight="1" x14ac:dyDescent="0.25">
      <c r="B65" s="118"/>
      <c r="C65" s="176" t="s">
        <v>243</v>
      </c>
      <c r="D65" s="176" t="s">
        <v>83</v>
      </c>
      <c r="E65" s="176" t="s">
        <v>257</v>
      </c>
      <c r="F65" s="128" t="s">
        <v>258</v>
      </c>
      <c r="G65" s="118"/>
      <c r="H65" s="118" t="s">
        <v>259</v>
      </c>
      <c r="I65" s="128" t="s">
        <v>94</v>
      </c>
      <c r="J65" s="128" t="s">
        <v>260</v>
      </c>
      <c r="K65" s="128" t="s">
        <v>89</v>
      </c>
      <c r="L65" s="128"/>
      <c r="M65" s="128"/>
      <c r="N65" s="118" t="s">
        <v>261</v>
      </c>
      <c r="O65" s="118" t="b">
        <v>1</v>
      </c>
      <c r="P65" s="178"/>
      <c r="Q65" s="118"/>
      <c r="R65" s="118"/>
      <c r="S65" s="118"/>
      <c r="T65" s="118"/>
      <c r="U65" s="118"/>
      <c r="V65" s="177"/>
      <c r="W65" s="118" t="s">
        <v>90</v>
      </c>
    </row>
    <row r="66" spans="2:23" ht="15" customHeight="1" x14ac:dyDescent="0.25">
      <c r="B66" s="118"/>
      <c r="C66" s="176" t="s">
        <v>243</v>
      </c>
      <c r="D66" s="176" t="s">
        <v>83</v>
      </c>
      <c r="E66" s="176" t="s">
        <v>262</v>
      </c>
      <c r="F66" s="128" t="s">
        <v>263</v>
      </c>
      <c r="G66" s="118"/>
      <c r="H66" s="118" t="s">
        <v>264</v>
      </c>
      <c r="I66" s="128" t="s">
        <v>94</v>
      </c>
      <c r="J66" s="128" t="s">
        <v>265</v>
      </c>
      <c r="K66" s="128" t="s">
        <v>266</v>
      </c>
      <c r="L66" s="128"/>
      <c r="M66" s="128"/>
      <c r="N66" s="118" t="s">
        <v>267</v>
      </c>
      <c r="O66" s="118" t="b">
        <v>1</v>
      </c>
      <c r="P66" s="178" t="s">
        <v>268</v>
      </c>
      <c r="Q66" s="118"/>
      <c r="R66" s="118"/>
      <c r="S66" s="118"/>
      <c r="T66" s="118"/>
      <c r="U66" s="118"/>
      <c r="V66" s="177"/>
      <c r="W66" s="118" t="s">
        <v>90</v>
      </c>
    </row>
    <row r="67" spans="2:23" ht="15" customHeight="1" x14ac:dyDescent="0.25">
      <c r="B67" s="118"/>
      <c r="C67" s="176" t="s">
        <v>243</v>
      </c>
      <c r="D67" s="176" t="s">
        <v>83</v>
      </c>
      <c r="E67" s="176" t="s">
        <v>269</v>
      </c>
      <c r="F67" s="128" t="s">
        <v>270</v>
      </c>
      <c r="G67" s="118"/>
      <c r="H67" s="118" t="s">
        <v>271</v>
      </c>
      <c r="I67" s="128" t="s">
        <v>94</v>
      </c>
      <c r="J67" s="128" t="s">
        <v>272</v>
      </c>
      <c r="K67" s="128" t="s">
        <v>89</v>
      </c>
      <c r="L67" s="128"/>
      <c r="M67" s="128"/>
      <c r="N67" s="118" t="s">
        <v>273</v>
      </c>
      <c r="O67" s="178" t="s">
        <v>274</v>
      </c>
      <c r="P67" s="178"/>
      <c r="Q67" s="118"/>
      <c r="R67" s="118"/>
      <c r="S67" s="118"/>
      <c r="T67" s="118"/>
      <c r="U67" s="118"/>
      <c r="V67" s="177"/>
      <c r="W67" s="118" t="s">
        <v>90</v>
      </c>
    </row>
    <row r="68" spans="2:23" ht="15" customHeight="1" x14ac:dyDescent="0.25">
      <c r="B68" s="118"/>
      <c r="C68" s="176" t="s">
        <v>243</v>
      </c>
      <c r="D68" s="176" t="s">
        <v>83</v>
      </c>
      <c r="E68" s="176" t="s">
        <v>275</v>
      </c>
      <c r="F68" s="128" t="s">
        <v>276</v>
      </c>
      <c r="G68" s="118"/>
      <c r="H68" s="118" t="s">
        <v>277</v>
      </c>
      <c r="I68" s="128" t="s">
        <v>94</v>
      </c>
      <c r="J68" s="128" t="s">
        <v>278</v>
      </c>
      <c r="K68" s="128" t="s">
        <v>143</v>
      </c>
      <c r="L68" s="128"/>
      <c r="M68" s="128" t="s">
        <v>279</v>
      </c>
      <c r="N68" s="118" t="b">
        <v>1</v>
      </c>
      <c r="O68" s="178" t="s">
        <v>280</v>
      </c>
      <c r="P68" s="178" t="s">
        <v>281</v>
      </c>
      <c r="Q68" s="118"/>
      <c r="R68" s="118"/>
      <c r="S68" s="118"/>
      <c r="T68" s="118"/>
      <c r="U68" s="118"/>
      <c r="V68" s="177"/>
      <c r="W68" s="118" t="s">
        <v>90</v>
      </c>
    </row>
    <row r="69" spans="2:23" ht="15" customHeight="1" x14ac:dyDescent="0.25">
      <c r="B69" s="118"/>
      <c r="C69" s="176" t="s">
        <v>243</v>
      </c>
      <c r="D69" s="176" t="s">
        <v>83</v>
      </c>
      <c r="E69" s="176" t="s">
        <v>282</v>
      </c>
      <c r="F69" s="128" t="s">
        <v>283</v>
      </c>
      <c r="G69" s="118"/>
      <c r="H69" s="118" t="s">
        <v>284</v>
      </c>
      <c r="I69" s="128" t="s">
        <v>285</v>
      </c>
      <c r="J69" s="128" t="s">
        <v>286</v>
      </c>
      <c r="K69" s="128" t="s">
        <v>143</v>
      </c>
      <c r="L69" s="128"/>
      <c r="M69" s="128" t="s">
        <v>287</v>
      </c>
      <c r="N69" s="118" t="b">
        <v>1</v>
      </c>
      <c r="O69" s="118" t="b">
        <v>0</v>
      </c>
      <c r="P69" s="178" t="s">
        <v>288</v>
      </c>
      <c r="Q69" s="118"/>
      <c r="R69" s="118"/>
      <c r="S69" s="118"/>
      <c r="T69" s="118"/>
      <c r="U69" s="118"/>
      <c r="V69" s="177"/>
      <c r="W69" s="118" t="s">
        <v>90</v>
      </c>
    </row>
    <row r="70" spans="2:23" ht="15" customHeight="1" x14ac:dyDescent="0.25">
      <c r="B70" s="118"/>
      <c r="C70" s="176" t="s">
        <v>243</v>
      </c>
      <c r="D70" s="176" t="s">
        <v>83</v>
      </c>
      <c r="E70" s="176" t="s">
        <v>289</v>
      </c>
      <c r="F70" s="128" t="s">
        <v>290</v>
      </c>
      <c r="G70" s="118"/>
      <c r="H70" s="178" t="s">
        <v>291</v>
      </c>
      <c r="I70" s="128"/>
      <c r="J70" s="128"/>
      <c r="K70" s="128"/>
      <c r="L70" s="128"/>
      <c r="M70" s="128"/>
      <c r="N70" s="118" t="b">
        <v>0</v>
      </c>
      <c r="O70" s="118" t="b">
        <v>0</v>
      </c>
      <c r="P70" s="178" t="s">
        <v>292</v>
      </c>
      <c r="Q70" s="118"/>
      <c r="R70" s="118"/>
      <c r="S70" s="118"/>
      <c r="T70" s="118"/>
      <c r="U70" s="118"/>
      <c r="V70" s="177"/>
      <c r="W70" s="118" t="s">
        <v>90</v>
      </c>
    </row>
    <row r="71" spans="2:23" ht="15" customHeight="1" x14ac:dyDescent="0.25">
      <c r="B71" s="118"/>
      <c r="C71" s="176" t="s">
        <v>243</v>
      </c>
      <c r="D71" s="176" t="s">
        <v>83</v>
      </c>
      <c r="E71" s="176" t="s">
        <v>293</v>
      </c>
      <c r="F71" s="128" t="s">
        <v>294</v>
      </c>
      <c r="G71" s="118"/>
      <c r="H71" s="178" t="s">
        <v>295</v>
      </c>
      <c r="I71" s="128"/>
      <c r="J71" s="128"/>
      <c r="K71" s="128"/>
      <c r="L71" s="128"/>
      <c r="M71" s="128"/>
      <c r="N71" s="118" t="b">
        <v>0</v>
      </c>
      <c r="O71" s="118" t="b">
        <v>0</v>
      </c>
      <c r="P71" s="178" t="s">
        <v>296</v>
      </c>
      <c r="Q71" s="118"/>
      <c r="R71" s="118"/>
      <c r="S71" s="118"/>
      <c r="T71" s="118"/>
      <c r="U71" s="118"/>
      <c r="V71" s="177"/>
      <c r="W71" s="118" t="s">
        <v>90</v>
      </c>
    </row>
    <row r="72" spans="2:23" ht="15" customHeight="1" x14ac:dyDescent="0.25">
      <c r="B72" s="118"/>
      <c r="C72" s="176" t="s">
        <v>243</v>
      </c>
      <c r="D72" s="176" t="s">
        <v>83</v>
      </c>
      <c r="E72" s="176" t="s">
        <v>297</v>
      </c>
      <c r="F72" s="128" t="s">
        <v>111</v>
      </c>
      <c r="G72" s="118"/>
      <c r="H72" s="118" t="s">
        <v>298</v>
      </c>
      <c r="I72" s="128" t="s">
        <v>299</v>
      </c>
      <c r="J72" s="128" t="s">
        <v>300</v>
      </c>
      <c r="K72" s="128" t="s">
        <v>100</v>
      </c>
      <c r="L72" s="128"/>
      <c r="M72" s="128"/>
      <c r="N72" s="118" t="b">
        <v>1</v>
      </c>
      <c r="O72" s="118" t="b">
        <v>0</v>
      </c>
      <c r="P72" s="178"/>
      <c r="Q72" s="118"/>
      <c r="R72" s="118"/>
      <c r="S72" s="118"/>
      <c r="T72" s="118"/>
      <c r="U72" s="118"/>
      <c r="V72" s="177"/>
      <c r="W72" s="118" t="s">
        <v>90</v>
      </c>
    </row>
    <row r="73" spans="2:23" ht="15" customHeight="1" x14ac:dyDescent="0.25">
      <c r="B73" s="172"/>
      <c r="C73" s="173" t="s">
        <v>301</v>
      </c>
      <c r="D73" s="174"/>
      <c r="E73" s="174"/>
      <c r="F73" s="173"/>
      <c r="G73" s="172"/>
      <c r="H73" s="172"/>
      <c r="I73" s="173"/>
      <c r="J73" s="173"/>
      <c r="K73" s="173"/>
      <c r="L73" s="173"/>
      <c r="M73" s="173"/>
      <c r="N73" s="172"/>
      <c r="O73" s="172"/>
      <c r="P73" s="172"/>
      <c r="Q73" s="172"/>
      <c r="R73" s="172"/>
      <c r="S73" s="172"/>
      <c r="T73" s="172"/>
      <c r="U73" s="172"/>
      <c r="V73" s="175"/>
      <c r="W73" s="172"/>
    </row>
    <row r="74" spans="2:23" ht="15" customHeight="1" x14ac:dyDescent="0.25">
      <c r="B74" s="118"/>
      <c r="C74" s="176" t="s">
        <v>301</v>
      </c>
      <c r="D74" s="176" t="s">
        <v>83</v>
      </c>
      <c r="E74" s="176" t="s">
        <v>302</v>
      </c>
      <c r="F74" s="128" t="s">
        <v>303</v>
      </c>
      <c r="G74" s="118"/>
      <c r="H74" s="118" t="s">
        <v>304</v>
      </c>
      <c r="I74" s="128"/>
      <c r="J74" s="128"/>
      <c r="K74" s="128"/>
      <c r="L74" s="128"/>
      <c r="M74" s="128"/>
      <c r="N74" s="118" t="s">
        <v>305</v>
      </c>
      <c r="O74" s="118" t="b">
        <v>1</v>
      </c>
      <c r="P74" s="118"/>
      <c r="Q74" s="118"/>
      <c r="R74" s="118"/>
      <c r="S74" s="118"/>
      <c r="T74" s="118"/>
      <c r="U74" s="118"/>
      <c r="V74" s="177"/>
      <c r="W74" s="118" t="s">
        <v>90</v>
      </c>
    </row>
    <row r="75" spans="2:23" ht="15" customHeight="1" x14ac:dyDescent="0.25">
      <c r="B75" s="118"/>
      <c r="C75" s="176" t="s">
        <v>301</v>
      </c>
      <c r="D75" s="176" t="s">
        <v>83</v>
      </c>
      <c r="E75" s="176" t="s">
        <v>306</v>
      </c>
      <c r="F75" s="128" t="s">
        <v>307</v>
      </c>
      <c r="G75" s="118"/>
      <c r="H75" s="118" t="s">
        <v>308</v>
      </c>
      <c r="I75" s="128" t="s">
        <v>309</v>
      </c>
      <c r="J75" s="128" t="s">
        <v>310</v>
      </c>
      <c r="K75" s="128" t="s">
        <v>100</v>
      </c>
      <c r="L75" s="128"/>
      <c r="M75" s="128"/>
      <c r="N75" s="118" t="b">
        <v>1</v>
      </c>
      <c r="O75" s="118" t="b">
        <v>1</v>
      </c>
      <c r="P75" s="118"/>
      <c r="Q75" s="118"/>
      <c r="R75" s="118"/>
      <c r="S75" s="118"/>
      <c r="T75" s="118"/>
      <c r="U75" s="118"/>
      <c r="V75" s="177"/>
      <c r="W75" s="118" t="s">
        <v>90</v>
      </c>
    </row>
    <row r="76" spans="2:23" ht="15" customHeight="1" x14ac:dyDescent="0.25">
      <c r="B76" s="172"/>
      <c r="C76" s="173" t="s">
        <v>311</v>
      </c>
      <c r="D76" s="174"/>
      <c r="E76" s="174"/>
      <c r="F76" s="173"/>
      <c r="G76" s="172"/>
      <c r="H76" s="172"/>
      <c r="I76" s="173"/>
      <c r="J76" s="173"/>
      <c r="K76" s="173"/>
      <c r="L76" s="173"/>
      <c r="M76" s="173"/>
      <c r="N76" s="172"/>
      <c r="O76" s="172"/>
      <c r="P76" s="172"/>
      <c r="Q76" s="172"/>
      <c r="R76" s="172"/>
      <c r="S76" s="172"/>
      <c r="T76" s="172"/>
      <c r="U76" s="172"/>
      <c r="V76" s="175"/>
      <c r="W76" s="172"/>
    </row>
    <row r="77" spans="2:23" ht="15" customHeight="1" x14ac:dyDescent="0.25">
      <c r="B77" s="118"/>
      <c r="C77" s="176" t="s">
        <v>311</v>
      </c>
      <c r="D77" s="176" t="s">
        <v>83</v>
      </c>
      <c r="E77" s="176" t="s">
        <v>312</v>
      </c>
      <c r="F77" s="128" t="s">
        <v>313</v>
      </c>
      <c r="G77" s="118"/>
      <c r="H77" s="118" t="s">
        <v>314</v>
      </c>
      <c r="I77" s="128" t="s">
        <v>94</v>
      </c>
      <c r="J77" s="128" t="s">
        <v>315</v>
      </c>
      <c r="K77" s="128" t="s">
        <v>143</v>
      </c>
      <c r="L77" s="128"/>
      <c r="M77" s="128" t="s">
        <v>316</v>
      </c>
      <c r="N77" s="118" t="s">
        <v>317</v>
      </c>
      <c r="O77" s="118" t="b">
        <v>1</v>
      </c>
      <c r="P77" s="118" t="s">
        <v>318</v>
      </c>
      <c r="Q77" s="118"/>
      <c r="R77" s="118"/>
      <c r="S77" s="118"/>
      <c r="T77" s="118"/>
      <c r="U77" s="118"/>
      <c r="V77" s="177"/>
      <c r="W77" s="118" t="s">
        <v>90</v>
      </c>
    </row>
    <row r="78" spans="2:23" ht="15" customHeight="1" x14ac:dyDescent="0.25">
      <c r="B78" s="118"/>
      <c r="C78" s="176" t="s">
        <v>311</v>
      </c>
      <c r="D78" s="176" t="s">
        <v>83</v>
      </c>
      <c r="E78" s="176" t="s">
        <v>319</v>
      </c>
      <c r="F78" s="128" t="s">
        <v>320</v>
      </c>
      <c r="G78" s="118"/>
      <c r="H78" s="118" t="s">
        <v>321</v>
      </c>
      <c r="I78" s="128" t="s">
        <v>94</v>
      </c>
      <c r="J78" s="128" t="s">
        <v>322</v>
      </c>
      <c r="K78" s="128" t="s">
        <v>143</v>
      </c>
      <c r="L78" s="128"/>
      <c r="M78" s="128" t="s">
        <v>316</v>
      </c>
      <c r="N78" s="118" t="s">
        <v>317</v>
      </c>
      <c r="O78" s="118" t="b">
        <v>1</v>
      </c>
      <c r="P78" s="118" t="s">
        <v>318</v>
      </c>
      <c r="Q78" s="118"/>
      <c r="R78" s="118"/>
      <c r="S78" s="118"/>
      <c r="T78" s="118"/>
      <c r="U78" s="118"/>
      <c r="V78" s="177"/>
      <c r="W78" s="118" t="s">
        <v>90</v>
      </c>
    </row>
    <row r="79" spans="2:23" ht="15" customHeight="1" x14ac:dyDescent="0.25">
      <c r="B79" s="172"/>
      <c r="C79" s="173" t="s">
        <v>323</v>
      </c>
      <c r="D79" s="174"/>
      <c r="E79" s="174"/>
      <c r="F79" s="173"/>
      <c r="G79" s="172"/>
      <c r="H79" s="172"/>
      <c r="I79" s="173"/>
      <c r="J79" s="173"/>
      <c r="K79" s="173"/>
      <c r="L79" s="173"/>
      <c r="M79" s="173"/>
      <c r="N79" s="172"/>
      <c r="O79" s="172"/>
      <c r="P79" s="172"/>
      <c r="Q79" s="172"/>
      <c r="R79" s="172"/>
      <c r="S79" s="172"/>
      <c r="T79" s="172"/>
      <c r="U79" s="172"/>
      <c r="V79" s="175"/>
      <c r="W79" s="172"/>
    </row>
    <row r="80" spans="2:23" ht="15" customHeight="1" x14ac:dyDescent="0.25">
      <c r="B80" s="118"/>
      <c r="C80" s="176" t="s">
        <v>323</v>
      </c>
      <c r="D80" s="176" t="s">
        <v>83</v>
      </c>
      <c r="E80" s="176"/>
      <c r="F80" s="128"/>
      <c r="G80" s="118"/>
      <c r="H80" s="118" t="s">
        <v>324</v>
      </c>
      <c r="I80" s="128"/>
      <c r="J80" s="128"/>
      <c r="K80" s="128"/>
      <c r="L80" s="128"/>
      <c r="M80" s="128"/>
      <c r="N80" s="118" t="b">
        <v>0</v>
      </c>
      <c r="O80" s="118" t="b">
        <v>1</v>
      </c>
      <c r="P80" s="118" t="s">
        <v>325</v>
      </c>
      <c r="Q80" s="118"/>
      <c r="R80" s="118"/>
      <c r="S80" s="118"/>
      <c r="T80" s="118"/>
      <c r="U80" s="118"/>
      <c r="V80" s="177"/>
      <c r="W80" s="118" t="s">
        <v>90</v>
      </c>
    </row>
    <row r="81" spans="2:23" ht="15" customHeight="1" x14ac:dyDescent="0.25">
      <c r="B81" s="102" t="s">
        <v>81</v>
      </c>
      <c r="C81" s="168"/>
      <c r="D81" s="168"/>
      <c r="E81" s="168"/>
      <c r="F81" s="169"/>
      <c r="G81" s="170"/>
      <c r="H81" s="170"/>
      <c r="I81" s="169"/>
      <c r="J81" s="169"/>
      <c r="K81" s="169"/>
      <c r="L81" s="169"/>
      <c r="M81" s="169"/>
      <c r="N81" s="170"/>
      <c r="O81" s="170"/>
      <c r="P81" s="170"/>
      <c r="Q81" s="170"/>
      <c r="R81" s="170"/>
      <c r="S81" s="170"/>
      <c r="T81" s="170"/>
      <c r="U81" s="170"/>
      <c r="V81" s="171"/>
      <c r="W81" s="170"/>
    </row>
    <row r="82" spans="2:23" ht="15" customHeight="1" x14ac:dyDescent="0.25">
      <c r="B82" s="172"/>
      <c r="C82" s="173" t="s">
        <v>82</v>
      </c>
      <c r="D82" s="174"/>
      <c r="E82" s="174"/>
      <c r="F82" s="173"/>
      <c r="G82" s="172"/>
      <c r="H82" s="172"/>
      <c r="I82" s="173"/>
      <c r="J82" s="173"/>
      <c r="K82" s="173"/>
      <c r="L82" s="173"/>
      <c r="M82" s="173"/>
      <c r="N82" s="172"/>
      <c r="O82" s="172"/>
      <c r="P82" s="172"/>
      <c r="Q82" s="172"/>
      <c r="R82" s="172"/>
      <c r="S82" s="172"/>
      <c r="T82" s="172"/>
      <c r="U82" s="172"/>
      <c r="V82" s="175"/>
      <c r="W82" s="172"/>
    </row>
    <row r="83" spans="2:23" ht="15" customHeight="1" x14ac:dyDescent="0.25">
      <c r="B83" s="172"/>
      <c r="C83" s="173" t="s">
        <v>104</v>
      </c>
      <c r="D83" s="174"/>
      <c r="E83" s="174"/>
      <c r="F83" s="173"/>
      <c r="G83" s="172"/>
      <c r="H83" s="172"/>
      <c r="I83" s="173"/>
      <c r="J83" s="173"/>
      <c r="K83" s="173"/>
      <c r="L83" s="173"/>
      <c r="M83" s="173"/>
      <c r="N83" s="172"/>
      <c r="O83" s="172"/>
      <c r="P83" s="172"/>
      <c r="Q83" s="172"/>
      <c r="R83" s="172"/>
      <c r="S83" s="172"/>
      <c r="T83" s="172"/>
      <c r="U83" s="172"/>
      <c r="V83" s="175"/>
      <c r="W83" s="172"/>
    </row>
    <row r="84" spans="2:23" ht="15" customHeight="1" x14ac:dyDescent="0.25">
      <c r="B84" s="172"/>
      <c r="C84" s="173" t="s">
        <v>150</v>
      </c>
      <c r="D84" s="174"/>
      <c r="E84" s="174"/>
      <c r="F84" s="173"/>
      <c r="G84" s="172"/>
      <c r="H84" s="172"/>
      <c r="I84" s="173"/>
      <c r="J84" s="173"/>
      <c r="K84" s="173"/>
      <c r="L84" s="173"/>
      <c r="M84" s="173"/>
      <c r="N84" s="172"/>
      <c r="O84" s="172"/>
      <c r="P84" s="172"/>
      <c r="Q84" s="172"/>
      <c r="R84" s="172"/>
      <c r="S84" s="172"/>
      <c r="T84" s="172"/>
      <c r="U84" s="172"/>
      <c r="V84" s="175"/>
      <c r="W84" s="172"/>
    </row>
    <row r="85" spans="2:23" ht="15" customHeight="1" x14ac:dyDescent="0.25">
      <c r="B85" s="172"/>
      <c r="C85" s="173" t="s">
        <v>170</v>
      </c>
      <c r="D85" s="174"/>
      <c r="E85" s="174"/>
      <c r="F85" s="173"/>
      <c r="G85" s="172"/>
      <c r="H85" s="172"/>
      <c r="I85" s="173"/>
      <c r="J85" s="173"/>
      <c r="K85" s="173"/>
      <c r="L85" s="173"/>
      <c r="M85" s="173"/>
      <c r="N85" s="172"/>
      <c r="O85" s="172"/>
      <c r="P85" s="172"/>
      <c r="Q85" s="172"/>
      <c r="R85" s="172"/>
      <c r="S85" s="172"/>
      <c r="T85" s="172"/>
      <c r="U85" s="172"/>
      <c r="V85" s="175"/>
      <c r="W85" s="172"/>
    </row>
    <row r="86" spans="2:23" ht="15" customHeight="1" x14ac:dyDescent="0.25">
      <c r="B86" s="172"/>
      <c r="C86" s="173" t="s">
        <v>177</v>
      </c>
      <c r="D86" s="174"/>
      <c r="E86" s="174"/>
      <c r="F86" s="173"/>
      <c r="G86" s="172"/>
      <c r="H86" s="172"/>
      <c r="I86" s="173"/>
      <c r="J86" s="173"/>
      <c r="K86" s="173"/>
      <c r="L86" s="173"/>
      <c r="M86" s="173"/>
      <c r="N86" s="172"/>
      <c r="O86" s="172"/>
      <c r="P86" s="172"/>
      <c r="Q86" s="172"/>
      <c r="R86" s="172"/>
      <c r="S86" s="172"/>
      <c r="T86" s="172"/>
      <c r="U86" s="172"/>
      <c r="V86" s="175"/>
      <c r="W86" s="172"/>
    </row>
    <row r="87" spans="2:23" ht="15" customHeight="1" x14ac:dyDescent="0.25">
      <c r="B87" s="172"/>
      <c r="C87" s="173" t="s">
        <v>218</v>
      </c>
      <c r="D87" s="174"/>
      <c r="E87" s="174"/>
      <c r="F87" s="173"/>
      <c r="G87" s="172"/>
      <c r="H87" s="172"/>
      <c r="I87" s="173"/>
      <c r="J87" s="173"/>
      <c r="K87" s="173"/>
      <c r="L87" s="173"/>
      <c r="M87" s="173"/>
      <c r="N87" s="172"/>
      <c r="O87" s="172"/>
      <c r="P87" s="172"/>
      <c r="Q87" s="172"/>
      <c r="R87" s="172"/>
      <c r="S87" s="172"/>
      <c r="T87" s="172"/>
      <c r="U87" s="172"/>
      <c r="V87" s="175"/>
      <c r="W87" s="172"/>
    </row>
    <row r="88" spans="2:23" ht="15" customHeight="1" x14ac:dyDescent="0.25">
      <c r="B88" s="172"/>
      <c r="C88" s="173" t="s">
        <v>223</v>
      </c>
      <c r="D88" s="174"/>
      <c r="E88" s="174"/>
      <c r="F88" s="173"/>
      <c r="G88" s="172"/>
      <c r="H88" s="172"/>
      <c r="I88" s="173"/>
      <c r="J88" s="173"/>
      <c r="K88" s="173"/>
      <c r="L88" s="173"/>
      <c r="M88" s="173"/>
      <c r="N88" s="172"/>
      <c r="O88" s="172"/>
      <c r="P88" s="172"/>
      <c r="Q88" s="172"/>
      <c r="R88" s="172"/>
      <c r="S88" s="172"/>
      <c r="T88" s="172"/>
      <c r="U88" s="172"/>
      <c r="V88" s="175"/>
      <c r="W88" s="172"/>
    </row>
    <row r="89" spans="2:23" ht="15" customHeight="1" x14ac:dyDescent="0.25">
      <c r="B89" s="172"/>
      <c r="C89" s="173" t="s">
        <v>228</v>
      </c>
      <c r="D89" s="174"/>
      <c r="E89" s="174"/>
      <c r="F89" s="173"/>
      <c r="G89" s="172"/>
      <c r="H89" s="172"/>
      <c r="I89" s="173"/>
      <c r="J89" s="173"/>
      <c r="K89" s="173"/>
      <c r="L89" s="173"/>
      <c r="M89" s="173"/>
      <c r="N89" s="172"/>
      <c r="O89" s="172"/>
      <c r="P89" s="172"/>
      <c r="Q89" s="172"/>
      <c r="R89" s="172"/>
      <c r="S89" s="172"/>
      <c r="T89" s="172"/>
      <c r="U89" s="172"/>
      <c r="V89" s="175"/>
      <c r="W89" s="172"/>
    </row>
    <row r="90" spans="2:23" ht="15" customHeight="1" x14ac:dyDescent="0.25">
      <c r="B90" s="172"/>
      <c r="C90" s="173" t="s">
        <v>243</v>
      </c>
      <c r="D90" s="174"/>
      <c r="E90" s="174"/>
      <c r="F90" s="173"/>
      <c r="G90" s="172"/>
      <c r="H90" s="172"/>
      <c r="I90" s="173"/>
      <c r="J90" s="173"/>
      <c r="K90" s="173"/>
      <c r="L90" s="173"/>
      <c r="M90" s="173"/>
      <c r="N90" s="172"/>
      <c r="O90" s="172"/>
      <c r="P90" s="172"/>
      <c r="Q90" s="172"/>
      <c r="R90" s="172"/>
      <c r="S90" s="172"/>
      <c r="T90" s="172"/>
      <c r="U90" s="172"/>
      <c r="V90" s="175"/>
      <c r="W90" s="172"/>
    </row>
    <row r="91" spans="2:23" ht="15" customHeight="1" x14ac:dyDescent="0.25">
      <c r="B91" s="172"/>
      <c r="C91" s="173" t="s">
        <v>301</v>
      </c>
      <c r="D91" s="174"/>
      <c r="E91" s="174"/>
      <c r="F91" s="173"/>
      <c r="G91" s="172"/>
      <c r="H91" s="172"/>
      <c r="I91" s="173"/>
      <c r="J91" s="173"/>
      <c r="K91" s="173"/>
      <c r="L91" s="173"/>
      <c r="M91" s="173"/>
      <c r="N91" s="172"/>
      <c r="O91" s="172"/>
      <c r="P91" s="172"/>
      <c r="Q91" s="172"/>
      <c r="R91" s="172"/>
      <c r="S91" s="172"/>
      <c r="T91" s="172"/>
      <c r="U91" s="172"/>
      <c r="V91" s="175"/>
      <c r="W91" s="172"/>
    </row>
    <row r="92" spans="2:23" ht="15" customHeight="1" x14ac:dyDescent="0.25">
      <c r="B92" s="172"/>
      <c r="C92" s="173" t="s">
        <v>311</v>
      </c>
      <c r="D92" s="174"/>
      <c r="E92" s="174"/>
      <c r="F92" s="173"/>
      <c r="G92" s="172"/>
      <c r="H92" s="172"/>
      <c r="I92" s="173"/>
      <c r="J92" s="173"/>
      <c r="K92" s="173"/>
      <c r="L92" s="173"/>
      <c r="M92" s="173"/>
      <c r="N92" s="172"/>
      <c r="O92" s="172"/>
      <c r="P92" s="172"/>
      <c r="Q92" s="172"/>
      <c r="R92" s="172"/>
      <c r="S92" s="172"/>
      <c r="T92" s="172"/>
      <c r="U92" s="172"/>
      <c r="V92" s="175"/>
      <c r="W92" s="172"/>
    </row>
    <row r="93" spans="2:23" ht="15" customHeight="1" x14ac:dyDescent="0.25">
      <c r="B93" s="172"/>
      <c r="C93" s="173" t="s">
        <v>323</v>
      </c>
      <c r="D93" s="174"/>
      <c r="E93" s="174"/>
      <c r="F93" s="173"/>
      <c r="G93" s="172"/>
      <c r="H93" s="172"/>
      <c r="I93" s="173"/>
      <c r="J93" s="173"/>
      <c r="K93" s="173"/>
      <c r="L93" s="173"/>
      <c r="M93" s="173"/>
      <c r="N93" s="172"/>
      <c r="O93" s="172"/>
      <c r="P93" s="172"/>
      <c r="Q93" s="172"/>
      <c r="R93" s="172"/>
      <c r="S93" s="172"/>
      <c r="T93" s="172"/>
      <c r="U93" s="172"/>
      <c r="V93" s="175"/>
      <c r="W93" s="172"/>
    </row>
    <row r="94" spans="2:23" ht="15" customHeight="1" x14ac:dyDescent="0.25">
      <c r="B94" s="102" t="s">
        <v>81</v>
      </c>
      <c r="C94" s="168"/>
      <c r="D94" s="168"/>
      <c r="E94" s="168"/>
      <c r="F94" s="169"/>
      <c r="G94" s="170"/>
      <c r="H94" s="170"/>
      <c r="I94" s="169"/>
      <c r="J94" s="169"/>
      <c r="K94" s="169"/>
      <c r="L94" s="169"/>
      <c r="M94" s="169"/>
      <c r="N94" s="170"/>
      <c r="O94" s="170"/>
      <c r="P94" s="170"/>
      <c r="Q94" s="170"/>
      <c r="R94" s="170"/>
      <c r="S94" s="170"/>
      <c r="T94" s="170"/>
      <c r="U94" s="170"/>
      <c r="V94" s="171"/>
      <c r="W94" s="170"/>
    </row>
    <row r="95" spans="2:23" ht="15" customHeight="1" x14ac:dyDescent="0.25">
      <c r="B95" s="172"/>
      <c r="C95" s="173" t="s">
        <v>82</v>
      </c>
      <c r="D95" s="174"/>
      <c r="E95" s="174"/>
      <c r="F95" s="173"/>
      <c r="G95" s="172"/>
      <c r="H95" s="172"/>
      <c r="I95" s="173"/>
      <c r="J95" s="173"/>
      <c r="K95" s="173"/>
      <c r="L95" s="173"/>
      <c r="M95" s="173"/>
      <c r="N95" s="172"/>
      <c r="O95" s="172"/>
      <c r="P95" s="172"/>
      <c r="Q95" s="172"/>
      <c r="R95" s="172"/>
      <c r="S95" s="172"/>
      <c r="T95" s="172"/>
      <c r="U95" s="172"/>
      <c r="V95" s="175"/>
      <c r="W95" s="172"/>
    </row>
    <row r="96" spans="2:23" ht="15" customHeight="1" x14ac:dyDescent="0.25">
      <c r="B96" s="172"/>
      <c r="C96" s="173" t="s">
        <v>104</v>
      </c>
      <c r="D96" s="174"/>
      <c r="E96" s="174"/>
      <c r="F96" s="173"/>
      <c r="G96" s="172"/>
      <c r="H96" s="172"/>
      <c r="I96" s="173"/>
      <c r="J96" s="173"/>
      <c r="K96" s="173"/>
      <c r="L96" s="173"/>
      <c r="M96" s="173"/>
      <c r="N96" s="172"/>
      <c r="O96" s="172"/>
      <c r="P96" s="172"/>
      <c r="Q96" s="172"/>
      <c r="R96" s="172"/>
      <c r="S96" s="172"/>
      <c r="T96" s="172"/>
      <c r="U96" s="172"/>
      <c r="V96" s="175"/>
      <c r="W96" s="172"/>
    </row>
    <row r="97" spans="2:23" ht="15" customHeight="1" x14ac:dyDescent="0.25">
      <c r="B97" s="172"/>
      <c r="C97" s="173" t="s">
        <v>150</v>
      </c>
      <c r="D97" s="174"/>
      <c r="E97" s="174"/>
      <c r="F97" s="173"/>
      <c r="G97" s="172"/>
      <c r="H97" s="172"/>
      <c r="I97" s="173"/>
      <c r="J97" s="173"/>
      <c r="K97" s="173"/>
      <c r="L97" s="173"/>
      <c r="M97" s="173"/>
      <c r="N97" s="172"/>
      <c r="O97" s="172"/>
      <c r="P97" s="172"/>
      <c r="Q97" s="172"/>
      <c r="R97" s="172"/>
      <c r="S97" s="172"/>
      <c r="T97" s="172"/>
      <c r="U97" s="172"/>
      <c r="V97" s="175"/>
      <c r="W97" s="172"/>
    </row>
    <row r="98" spans="2:23" ht="15" customHeight="1" x14ac:dyDescent="0.25">
      <c r="B98" s="172"/>
      <c r="C98" s="173" t="s">
        <v>170</v>
      </c>
      <c r="D98" s="174"/>
      <c r="E98" s="174"/>
      <c r="F98" s="173"/>
      <c r="G98" s="172"/>
      <c r="H98" s="172"/>
      <c r="I98" s="173"/>
      <c r="J98" s="173"/>
      <c r="K98" s="173"/>
      <c r="L98" s="173"/>
      <c r="M98" s="173"/>
      <c r="N98" s="172"/>
      <c r="O98" s="172"/>
      <c r="P98" s="172"/>
      <c r="Q98" s="172"/>
      <c r="R98" s="172"/>
      <c r="S98" s="172"/>
      <c r="T98" s="172"/>
      <c r="U98" s="172"/>
      <c r="V98" s="175"/>
      <c r="W98" s="172"/>
    </row>
    <row r="99" spans="2:23" ht="15" customHeight="1" x14ac:dyDescent="0.25">
      <c r="B99" s="172"/>
      <c r="C99" s="173" t="s">
        <v>177</v>
      </c>
      <c r="D99" s="174"/>
      <c r="E99" s="174"/>
      <c r="F99" s="173"/>
      <c r="G99" s="172"/>
      <c r="H99" s="172"/>
      <c r="I99" s="173"/>
      <c r="J99" s="173"/>
      <c r="K99" s="173"/>
      <c r="L99" s="173"/>
      <c r="M99" s="173"/>
      <c r="N99" s="172"/>
      <c r="O99" s="172"/>
      <c r="P99" s="172"/>
      <c r="Q99" s="172"/>
      <c r="R99" s="172"/>
      <c r="S99" s="172"/>
      <c r="T99" s="172"/>
      <c r="U99" s="172"/>
      <c r="V99" s="175"/>
      <c r="W99" s="172"/>
    </row>
    <row r="100" spans="2:23" ht="15" customHeight="1" x14ac:dyDescent="0.25">
      <c r="B100" s="172"/>
      <c r="C100" s="173" t="s">
        <v>218</v>
      </c>
      <c r="D100" s="174"/>
      <c r="E100" s="174"/>
      <c r="F100" s="173"/>
      <c r="G100" s="172"/>
      <c r="H100" s="172"/>
      <c r="I100" s="173"/>
      <c r="J100" s="173"/>
      <c r="K100" s="173"/>
      <c r="L100" s="173"/>
      <c r="M100" s="173"/>
      <c r="N100" s="172"/>
      <c r="O100" s="172"/>
      <c r="P100" s="172"/>
      <c r="Q100" s="172"/>
      <c r="R100" s="172"/>
      <c r="S100" s="172"/>
      <c r="T100" s="172"/>
      <c r="U100" s="172"/>
      <c r="V100" s="175"/>
      <c r="W100" s="172"/>
    </row>
    <row r="101" spans="2:23" ht="15" customHeight="1" x14ac:dyDescent="0.25">
      <c r="B101" s="172"/>
      <c r="C101" s="173" t="s">
        <v>223</v>
      </c>
      <c r="D101" s="174"/>
      <c r="E101" s="174"/>
      <c r="F101" s="173"/>
      <c r="G101" s="172"/>
      <c r="H101" s="172"/>
      <c r="I101" s="173"/>
      <c r="J101" s="173"/>
      <c r="K101" s="173"/>
      <c r="L101" s="173"/>
      <c r="M101" s="173"/>
      <c r="N101" s="172"/>
      <c r="O101" s="172"/>
      <c r="P101" s="172"/>
      <c r="Q101" s="172"/>
      <c r="R101" s="172"/>
      <c r="S101" s="172"/>
      <c r="T101" s="172"/>
      <c r="U101" s="172"/>
      <c r="V101" s="175"/>
      <c r="W101" s="172"/>
    </row>
    <row r="102" spans="2:23" ht="15" customHeight="1" x14ac:dyDescent="0.25">
      <c r="B102" s="172"/>
      <c r="C102" s="173" t="s">
        <v>228</v>
      </c>
      <c r="D102" s="174"/>
      <c r="E102" s="174"/>
      <c r="F102" s="173"/>
      <c r="G102" s="172"/>
      <c r="H102" s="172"/>
      <c r="I102" s="173"/>
      <c r="J102" s="173"/>
      <c r="K102" s="173"/>
      <c r="L102" s="173"/>
      <c r="M102" s="173"/>
      <c r="N102" s="172"/>
      <c r="O102" s="172"/>
      <c r="P102" s="172"/>
      <c r="Q102" s="172"/>
      <c r="R102" s="172"/>
      <c r="S102" s="172"/>
      <c r="T102" s="172"/>
      <c r="U102" s="172"/>
      <c r="V102" s="175"/>
      <c r="W102" s="172"/>
    </row>
    <row r="103" spans="2:23" ht="15" customHeight="1" x14ac:dyDescent="0.25">
      <c r="B103" s="172"/>
      <c r="C103" s="173" t="s">
        <v>243</v>
      </c>
      <c r="D103" s="174"/>
      <c r="E103" s="174"/>
      <c r="F103" s="173"/>
      <c r="G103" s="172"/>
      <c r="H103" s="172"/>
      <c r="I103" s="173"/>
      <c r="J103" s="173"/>
      <c r="K103" s="173"/>
      <c r="L103" s="173"/>
      <c r="M103" s="173"/>
      <c r="N103" s="172"/>
      <c r="O103" s="172"/>
      <c r="P103" s="172"/>
      <c r="Q103" s="172"/>
      <c r="R103" s="172"/>
      <c r="S103" s="172"/>
      <c r="T103" s="172"/>
      <c r="U103" s="172"/>
      <c r="V103" s="175"/>
      <c r="W103" s="172"/>
    </row>
    <row r="104" spans="2:23" ht="15" customHeight="1" x14ac:dyDescent="0.25">
      <c r="B104" s="172"/>
      <c r="C104" s="173" t="s">
        <v>301</v>
      </c>
      <c r="D104" s="174"/>
      <c r="E104" s="174"/>
      <c r="F104" s="173"/>
      <c r="G104" s="172"/>
      <c r="H104" s="172"/>
      <c r="I104" s="173"/>
      <c r="J104" s="173"/>
      <c r="K104" s="173"/>
      <c r="L104" s="173"/>
      <c r="M104" s="173"/>
      <c r="N104" s="172"/>
      <c r="O104" s="172"/>
      <c r="P104" s="172"/>
      <c r="Q104" s="172"/>
      <c r="R104" s="172"/>
      <c r="S104" s="172"/>
      <c r="T104" s="172"/>
      <c r="U104" s="172"/>
      <c r="V104" s="175"/>
      <c r="W104" s="172"/>
    </row>
    <row r="105" spans="2:23" ht="15" customHeight="1" x14ac:dyDescent="0.25">
      <c r="B105" s="172"/>
      <c r="C105" s="173" t="s">
        <v>311</v>
      </c>
      <c r="D105" s="174"/>
      <c r="E105" s="174"/>
      <c r="F105" s="173"/>
      <c r="G105" s="172"/>
      <c r="H105" s="172"/>
      <c r="I105" s="173"/>
      <c r="J105" s="173"/>
      <c r="K105" s="173"/>
      <c r="L105" s="173"/>
      <c r="M105" s="173"/>
      <c r="N105" s="172"/>
      <c r="O105" s="172"/>
      <c r="P105" s="172"/>
      <c r="Q105" s="172"/>
      <c r="R105" s="172"/>
      <c r="S105" s="172"/>
      <c r="T105" s="172"/>
      <c r="U105" s="172"/>
      <c r="V105" s="175"/>
      <c r="W105" s="172"/>
    </row>
    <row r="106" spans="2:23" ht="15" customHeight="1" x14ac:dyDescent="0.25">
      <c r="B106" s="172"/>
      <c r="C106" s="173" t="s">
        <v>323</v>
      </c>
      <c r="D106" s="174"/>
      <c r="E106" s="174"/>
      <c r="F106" s="173"/>
      <c r="G106" s="172"/>
      <c r="H106" s="172"/>
      <c r="I106" s="173"/>
      <c r="J106" s="173"/>
      <c r="K106" s="173"/>
      <c r="L106" s="173"/>
      <c r="M106" s="173"/>
      <c r="N106" s="172"/>
      <c r="O106" s="172"/>
      <c r="P106" s="172"/>
      <c r="Q106" s="172"/>
      <c r="R106" s="172"/>
      <c r="S106" s="172"/>
      <c r="T106" s="172"/>
      <c r="U106" s="172"/>
      <c r="V106" s="175"/>
      <c r="W106" s="172"/>
    </row>
    <row r="107" spans="2:23" ht="15" customHeight="1" x14ac:dyDescent="0.25">
      <c r="B107" s="102" t="s">
        <v>81</v>
      </c>
      <c r="C107" s="168"/>
      <c r="D107" s="168"/>
      <c r="E107" s="168"/>
      <c r="F107" s="169"/>
      <c r="G107" s="170"/>
      <c r="H107" s="170"/>
      <c r="I107" s="169"/>
      <c r="J107" s="169"/>
      <c r="K107" s="169"/>
      <c r="L107" s="169"/>
      <c r="M107" s="169"/>
      <c r="N107" s="170"/>
      <c r="O107" s="170"/>
      <c r="P107" s="170"/>
      <c r="Q107" s="170"/>
      <c r="R107" s="170"/>
      <c r="S107" s="170"/>
      <c r="T107" s="170"/>
      <c r="U107" s="170"/>
      <c r="V107" s="171"/>
      <c r="W107" s="170"/>
    </row>
    <row r="108" spans="2:23" ht="15" customHeight="1" x14ac:dyDescent="0.25">
      <c r="B108" s="172"/>
      <c r="C108" s="173" t="s">
        <v>82</v>
      </c>
      <c r="D108" s="174"/>
      <c r="E108" s="174"/>
      <c r="F108" s="173"/>
      <c r="G108" s="172"/>
      <c r="H108" s="172"/>
      <c r="I108" s="173"/>
      <c r="J108" s="173"/>
      <c r="K108" s="173"/>
      <c r="L108" s="173"/>
      <c r="M108" s="173"/>
      <c r="N108" s="172"/>
      <c r="O108" s="172"/>
      <c r="P108" s="172"/>
      <c r="Q108" s="172"/>
      <c r="R108" s="172"/>
      <c r="S108" s="172"/>
      <c r="T108" s="172"/>
      <c r="U108" s="172"/>
      <c r="V108" s="175"/>
      <c r="W108" s="172"/>
    </row>
    <row r="109" spans="2:23" ht="15" customHeight="1" x14ac:dyDescent="0.25">
      <c r="B109" s="172"/>
      <c r="C109" s="173" t="s">
        <v>104</v>
      </c>
      <c r="D109" s="174"/>
      <c r="E109" s="174"/>
      <c r="F109" s="173"/>
      <c r="G109" s="172"/>
      <c r="H109" s="172"/>
      <c r="I109" s="173"/>
      <c r="J109" s="173"/>
      <c r="K109" s="173"/>
      <c r="L109" s="173"/>
      <c r="M109" s="173"/>
      <c r="N109" s="172"/>
      <c r="O109" s="172"/>
      <c r="P109" s="172"/>
      <c r="Q109" s="172"/>
      <c r="R109" s="172"/>
      <c r="S109" s="172"/>
      <c r="T109" s="172"/>
      <c r="U109" s="172"/>
      <c r="V109" s="175"/>
      <c r="W109" s="172"/>
    </row>
    <row r="110" spans="2:23" ht="15" customHeight="1" x14ac:dyDescent="0.25">
      <c r="B110" s="172"/>
      <c r="C110" s="173" t="s">
        <v>150</v>
      </c>
      <c r="D110" s="174"/>
      <c r="E110" s="174"/>
      <c r="F110" s="173"/>
      <c r="G110" s="172"/>
      <c r="H110" s="172"/>
      <c r="I110" s="173"/>
      <c r="J110" s="173"/>
      <c r="K110" s="173"/>
      <c r="L110" s="173"/>
      <c r="M110" s="173"/>
      <c r="N110" s="172"/>
      <c r="O110" s="172"/>
      <c r="P110" s="172"/>
      <c r="Q110" s="172"/>
      <c r="R110" s="172"/>
      <c r="S110" s="172"/>
      <c r="T110" s="172"/>
      <c r="U110" s="172"/>
      <c r="V110" s="175"/>
      <c r="W110" s="172"/>
    </row>
    <row r="111" spans="2:23" ht="15" customHeight="1" x14ac:dyDescent="0.25">
      <c r="B111" s="172"/>
      <c r="C111" s="173" t="s">
        <v>170</v>
      </c>
      <c r="D111" s="174"/>
      <c r="E111" s="174"/>
      <c r="F111" s="173"/>
      <c r="G111" s="172"/>
      <c r="H111" s="172"/>
      <c r="I111" s="173"/>
      <c r="J111" s="173"/>
      <c r="K111" s="173"/>
      <c r="L111" s="173"/>
      <c r="M111" s="173"/>
      <c r="N111" s="172"/>
      <c r="O111" s="172"/>
      <c r="P111" s="172"/>
      <c r="Q111" s="172"/>
      <c r="R111" s="172"/>
      <c r="S111" s="172"/>
      <c r="T111" s="172"/>
      <c r="U111" s="172"/>
      <c r="V111" s="175"/>
      <c r="W111" s="172"/>
    </row>
    <row r="112" spans="2:23" ht="15" customHeight="1" x14ac:dyDescent="0.25">
      <c r="B112" s="172"/>
      <c r="C112" s="173" t="s">
        <v>177</v>
      </c>
      <c r="D112" s="174"/>
      <c r="E112" s="174"/>
      <c r="F112" s="173"/>
      <c r="G112" s="172"/>
      <c r="H112" s="172"/>
      <c r="I112" s="173"/>
      <c r="J112" s="173"/>
      <c r="K112" s="173"/>
      <c r="L112" s="173"/>
      <c r="M112" s="173"/>
      <c r="N112" s="172"/>
      <c r="O112" s="172"/>
      <c r="P112" s="172"/>
      <c r="Q112" s="172"/>
      <c r="R112" s="172"/>
      <c r="S112" s="172"/>
      <c r="T112" s="172"/>
      <c r="U112" s="172"/>
      <c r="V112" s="175"/>
      <c r="W112" s="172"/>
    </row>
    <row r="113" spans="2:23" ht="15" customHeight="1" x14ac:dyDescent="0.25">
      <c r="B113" s="172"/>
      <c r="C113" s="173" t="s">
        <v>218</v>
      </c>
      <c r="D113" s="174"/>
      <c r="E113" s="174"/>
      <c r="F113" s="173"/>
      <c r="G113" s="172"/>
      <c r="H113" s="172"/>
      <c r="I113" s="173"/>
      <c r="J113" s="173"/>
      <c r="K113" s="173"/>
      <c r="L113" s="173"/>
      <c r="M113" s="173"/>
      <c r="N113" s="172"/>
      <c r="O113" s="172"/>
      <c r="P113" s="172"/>
      <c r="Q113" s="172"/>
      <c r="R113" s="172"/>
      <c r="S113" s="172"/>
      <c r="T113" s="172"/>
      <c r="U113" s="172"/>
      <c r="V113" s="175"/>
      <c r="W113" s="172"/>
    </row>
    <row r="114" spans="2:23" ht="15" customHeight="1" x14ac:dyDescent="0.25">
      <c r="B114" s="172"/>
      <c r="C114" s="173" t="s">
        <v>223</v>
      </c>
      <c r="D114" s="174"/>
      <c r="E114" s="174"/>
      <c r="F114" s="173"/>
      <c r="G114" s="172"/>
      <c r="H114" s="172"/>
      <c r="I114" s="173"/>
      <c r="J114" s="173"/>
      <c r="K114" s="173"/>
      <c r="L114" s="173"/>
      <c r="M114" s="173"/>
      <c r="N114" s="172"/>
      <c r="O114" s="172"/>
      <c r="P114" s="172"/>
      <c r="Q114" s="172"/>
      <c r="R114" s="172"/>
      <c r="S114" s="172"/>
      <c r="T114" s="172"/>
      <c r="U114" s="172"/>
      <c r="V114" s="175"/>
      <c r="W114" s="172"/>
    </row>
    <row r="115" spans="2:23" ht="15" customHeight="1" x14ac:dyDescent="0.25">
      <c r="B115" s="172"/>
      <c r="C115" s="173" t="s">
        <v>228</v>
      </c>
      <c r="D115" s="174"/>
      <c r="E115" s="174"/>
      <c r="F115" s="173"/>
      <c r="G115" s="172"/>
      <c r="H115" s="172"/>
      <c r="I115" s="173"/>
      <c r="J115" s="173"/>
      <c r="K115" s="173"/>
      <c r="L115" s="173"/>
      <c r="M115" s="173"/>
      <c r="N115" s="172"/>
      <c r="O115" s="172"/>
      <c r="P115" s="172"/>
      <c r="Q115" s="172"/>
      <c r="R115" s="172"/>
      <c r="S115" s="172"/>
      <c r="T115" s="172"/>
      <c r="U115" s="172"/>
      <c r="V115" s="175"/>
      <c r="W115" s="172"/>
    </row>
    <row r="116" spans="2:23" ht="15" customHeight="1" x14ac:dyDescent="0.25">
      <c r="B116" s="172"/>
      <c r="C116" s="173" t="s">
        <v>243</v>
      </c>
      <c r="D116" s="174"/>
      <c r="E116" s="174"/>
      <c r="F116" s="173"/>
      <c r="G116" s="172"/>
      <c r="H116" s="172"/>
      <c r="I116" s="173"/>
      <c r="J116" s="173"/>
      <c r="K116" s="173"/>
      <c r="L116" s="173"/>
      <c r="M116" s="173"/>
      <c r="N116" s="172"/>
      <c r="O116" s="172"/>
      <c r="P116" s="172"/>
      <c r="Q116" s="172"/>
      <c r="R116" s="172"/>
      <c r="S116" s="172"/>
      <c r="T116" s="172"/>
      <c r="U116" s="172"/>
      <c r="V116" s="175"/>
      <c r="W116" s="172"/>
    </row>
    <row r="117" spans="2:23" ht="15" customHeight="1" x14ac:dyDescent="0.25">
      <c r="B117" s="172"/>
      <c r="C117" s="173" t="s">
        <v>301</v>
      </c>
      <c r="D117" s="174"/>
      <c r="E117" s="174"/>
      <c r="F117" s="173"/>
      <c r="G117" s="172"/>
      <c r="H117" s="172"/>
      <c r="I117" s="173"/>
      <c r="J117" s="173"/>
      <c r="K117" s="173"/>
      <c r="L117" s="173"/>
      <c r="M117" s="173"/>
      <c r="N117" s="172"/>
      <c r="O117" s="172"/>
      <c r="P117" s="172"/>
      <c r="Q117" s="172"/>
      <c r="R117" s="172"/>
      <c r="S117" s="172"/>
      <c r="T117" s="172"/>
      <c r="U117" s="172"/>
      <c r="V117" s="175"/>
      <c r="W117" s="172"/>
    </row>
    <row r="118" spans="2:23" ht="15" customHeight="1" x14ac:dyDescent="0.25">
      <c r="B118" s="172"/>
      <c r="C118" s="173" t="s">
        <v>311</v>
      </c>
      <c r="D118" s="174"/>
      <c r="E118" s="174"/>
      <c r="F118" s="173"/>
      <c r="G118" s="172"/>
      <c r="H118" s="172"/>
      <c r="I118" s="173"/>
      <c r="J118" s="173"/>
      <c r="K118" s="173"/>
      <c r="L118" s="173"/>
      <c r="M118" s="173"/>
      <c r="N118" s="172"/>
      <c r="O118" s="172"/>
      <c r="P118" s="172"/>
      <c r="Q118" s="172"/>
      <c r="R118" s="172"/>
      <c r="S118" s="172"/>
      <c r="T118" s="172"/>
      <c r="U118" s="172"/>
      <c r="V118" s="175"/>
      <c r="W118" s="172"/>
    </row>
    <row r="119" spans="2:23" ht="15" customHeight="1" x14ac:dyDescent="0.25">
      <c r="B119" s="182"/>
      <c r="C119" s="183" t="s">
        <v>323</v>
      </c>
      <c r="D119" s="184"/>
      <c r="E119" s="184"/>
      <c r="F119" s="183"/>
      <c r="G119" s="182"/>
      <c r="H119" s="182"/>
      <c r="I119" s="183"/>
      <c r="J119" s="183"/>
      <c r="K119" s="183"/>
      <c r="L119" s="183"/>
      <c r="M119" s="183"/>
      <c r="N119" s="182"/>
      <c r="O119" s="182"/>
      <c r="P119" s="182"/>
      <c r="Q119" s="182"/>
      <c r="R119" s="182"/>
      <c r="S119" s="182"/>
      <c r="T119" s="182"/>
      <c r="U119" s="182"/>
      <c r="V119" s="185"/>
      <c r="W119" s="182"/>
    </row>
  </sheetData>
  <mergeCells count="20">
    <mergeCell ref="F4:G4"/>
    <mergeCell ref="F5:G5"/>
    <mergeCell ref="D8:E8"/>
    <mergeCell ref="H8:J8"/>
    <mergeCell ref="F6:G6"/>
    <mergeCell ref="H6:J6"/>
    <mergeCell ref="F8:G8"/>
    <mergeCell ref="F7:G7"/>
    <mergeCell ref="D7:E7"/>
    <mergeCell ref="D6:E6"/>
    <mergeCell ref="D12:E12"/>
    <mergeCell ref="F12:G12"/>
    <mergeCell ref="H12:J12"/>
    <mergeCell ref="F9:G9"/>
    <mergeCell ref="H11:J11"/>
    <mergeCell ref="F10:G10"/>
    <mergeCell ref="F11:G11"/>
    <mergeCell ref="D9:E9"/>
    <mergeCell ref="D10:E10"/>
    <mergeCell ref="D11:E11"/>
  </mergeCells>
  <phoneticPr fontId="0" type="noConversion"/>
  <printOptions horizontalCentered="1"/>
  <pageMargins left="0.35433070866141736" right="0.35433070866141736" top="0.55118110236220474" bottom="0.47244094488188981" header="0.23622047244094491" footer="0.23622047244094491"/>
  <pageSetup paperSize="9" scale="28" orientation="landscape" r:id="rId1"/>
  <headerFooter alignWithMargins="0">
    <oddHeader>&amp;C&amp;F &amp;R&amp;A</oddHeader>
    <oddFooter>&amp;L&amp;"Arial,Bold Italic"&amp;8Commercial in Confidence
&amp;"Arial,Regular"&amp;Z&amp;F&amp;R&amp;8Page: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'Dropdown Lists'!$E$2:$E$4</xm:f>
          </x14:formula1>
          <xm:sqref>D34:D37 D39:D40 D42:D50 D52 D54:D55 D80 D74:D75 D77:D78 D57:D72 D17:D32</xm:sqref>
        </x14:dataValidation>
        <x14:dataValidation type="list" allowBlank="1" showInputMessage="1" showErrorMessage="1" xr:uid="{00000000-0002-0000-0200-000001000000}">
          <x14:formula1>
            <xm:f>'Dropdown Lists'!$E$2:$E$6</xm:f>
          </x14:formula1>
          <xm:sqref>D16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E5BA03"/>
    <pageSetUpPr fitToPage="1"/>
  </sheetPr>
  <dimension ref="A1:Z150"/>
  <sheetViews>
    <sheetView showGridLines="0" zoomScale="95" zoomScaleNormal="95" workbookViewId="0">
      <pane ySplit="15" topLeftCell="A16" activePane="bottomLeft" state="frozen"/>
      <selection pane="bottomLeft" activeCell="B16" sqref="B16"/>
    </sheetView>
  </sheetViews>
  <sheetFormatPr defaultColWidth="9.33203125" defaultRowHeight="13.8" x14ac:dyDescent="0.25"/>
  <cols>
    <col min="1" max="1" width="0.6640625" style="14" customWidth="1"/>
    <col min="2" max="2" width="29.6640625" style="27" customWidth="1"/>
    <col min="3" max="3" width="18.6640625" style="27" customWidth="1"/>
    <col min="4" max="4" width="26.6640625" style="27" customWidth="1"/>
    <col min="5" max="5" width="24.6640625" style="27" customWidth="1"/>
    <col min="6" max="6" width="29" style="27" customWidth="1"/>
    <col min="7" max="7" width="22.33203125" style="27" customWidth="1"/>
    <col min="8" max="9" width="28.6640625" style="27" customWidth="1"/>
    <col min="10" max="10" width="24.44140625" style="27" customWidth="1"/>
    <col min="11" max="11" width="27.33203125" style="27" customWidth="1"/>
    <col min="12" max="12" width="10.6640625" style="14" hidden="1" customWidth="1"/>
    <col min="13" max="14" width="23.6640625" style="121" customWidth="1"/>
    <col min="15" max="15" width="23.6640625" style="27" customWidth="1"/>
    <col min="16" max="16384" width="9.33203125" style="14"/>
  </cols>
  <sheetData>
    <row r="1" spans="1:26" s="10" customFormat="1" ht="28.5" customHeight="1" x14ac:dyDescent="0.25">
      <c r="B1" s="11" t="s">
        <v>326</v>
      </c>
      <c r="C1" s="11"/>
      <c r="D1" s="11"/>
      <c r="E1" s="12"/>
      <c r="F1" s="12"/>
      <c r="G1" s="13"/>
      <c r="H1" s="13"/>
      <c r="I1" s="13"/>
      <c r="J1" s="13"/>
      <c r="K1" s="13"/>
      <c r="M1" s="119"/>
      <c r="N1" s="119"/>
      <c r="O1" s="147"/>
    </row>
    <row r="2" spans="1:26" s="40" customFormat="1" ht="16.5" customHeight="1" x14ac:dyDescent="0.25">
      <c r="B2" s="42" t="s">
        <v>327</v>
      </c>
      <c r="C2" s="42"/>
      <c r="D2" s="42"/>
      <c r="E2" s="38"/>
      <c r="F2" s="38"/>
      <c r="G2" s="39"/>
      <c r="H2" s="39"/>
      <c r="I2" s="39"/>
      <c r="J2" s="39"/>
      <c r="K2" s="39"/>
      <c r="M2" s="120"/>
      <c r="N2" s="120"/>
      <c r="O2" s="148"/>
    </row>
    <row r="3" spans="1:26" ht="17.25" customHeight="1" x14ac:dyDescent="0.25">
      <c r="B3" s="14"/>
      <c r="C3" s="14"/>
      <c r="D3" s="14"/>
      <c r="E3" s="14"/>
      <c r="F3" s="14"/>
      <c r="G3" s="14"/>
      <c r="H3" s="14"/>
      <c r="I3" s="14"/>
      <c r="J3" s="14"/>
      <c r="K3" s="14"/>
    </row>
    <row r="4" spans="1:26" ht="15" customHeight="1" x14ac:dyDescent="0.25">
      <c r="B4" s="96" t="s">
        <v>2</v>
      </c>
      <c r="C4" s="98"/>
      <c r="D4" s="203" t="str">
        <f>'Document Control'!C4</f>
        <v>PC</v>
      </c>
      <c r="E4" s="231"/>
      <c r="F4" s="199" t="s">
        <v>4</v>
      </c>
      <c r="G4" s="199"/>
      <c r="H4" s="92" t="str">
        <f>'Document Control'!G4</f>
        <v>US444</v>
      </c>
      <c r="I4" s="90"/>
      <c r="J4" s="91"/>
      <c r="K4" s="1"/>
    </row>
    <row r="5" spans="1:26" ht="14.4" x14ac:dyDescent="0.25">
      <c r="B5" s="96" t="s">
        <v>6</v>
      </c>
      <c r="C5" s="98"/>
      <c r="D5" s="203" t="str">
        <f>'Document Control'!C5</f>
        <v>Policy Info</v>
      </c>
      <c r="E5" s="231"/>
      <c r="F5" s="199" t="s">
        <v>8</v>
      </c>
      <c r="G5" s="199"/>
      <c r="H5" s="92" t="str">
        <f>'Document Control'!G5</f>
        <v>Not Started</v>
      </c>
      <c r="I5" s="90"/>
      <c r="J5" s="91"/>
      <c r="K5" s="1"/>
    </row>
    <row r="6" spans="1:26" ht="14.4" x14ac:dyDescent="0.25">
      <c r="B6" s="96" t="s">
        <v>10</v>
      </c>
      <c r="C6" s="98"/>
      <c r="D6" s="203" t="str">
        <f>'Document Control'!C6</f>
        <v>QuoteApplication</v>
      </c>
      <c r="E6" s="231"/>
      <c r="F6" s="199" t="s">
        <v>12</v>
      </c>
      <c r="G6" s="199"/>
      <c r="H6" s="197" t="str">
        <f>'Document Control'!G6</f>
        <v>10900-GW.2</v>
      </c>
      <c r="I6" s="223"/>
      <c r="J6" s="224"/>
      <c r="K6" s="1"/>
    </row>
    <row r="7" spans="1:26" ht="14.4" x14ac:dyDescent="0.25">
      <c r="A7" s="16"/>
      <c r="B7" s="96" t="str">
        <f>'Document Control'!B7</f>
        <v>Gap Business Value</v>
      </c>
      <c r="C7" s="98"/>
      <c r="D7" s="203" t="str">
        <f>'Document Control'!C7</f>
        <v>3 - Significant Value</v>
      </c>
      <c r="E7" s="231"/>
      <c r="F7" s="199" t="s">
        <v>16</v>
      </c>
      <c r="G7" s="199"/>
      <c r="H7" s="92" t="str">
        <f>'Document Control'!G7</f>
        <v>4 - Full Product Alignment</v>
      </c>
      <c r="I7" s="90"/>
      <c r="J7" s="91"/>
      <c r="K7" s="16"/>
      <c r="L7" s="16"/>
      <c r="M7" s="122"/>
      <c r="N7" s="122"/>
      <c r="O7" s="149"/>
      <c r="P7" s="16"/>
      <c r="Q7" s="16"/>
      <c r="R7" s="16"/>
      <c r="S7" s="16"/>
      <c r="T7" s="16"/>
      <c r="U7" s="16"/>
      <c r="V7" s="16"/>
      <c r="W7" s="16"/>
      <c r="X7" s="16"/>
      <c r="Y7" s="16"/>
      <c r="Z7" s="16"/>
    </row>
    <row r="8" spans="1:26" ht="14.4" x14ac:dyDescent="0.25">
      <c r="B8" s="96" t="s">
        <v>18</v>
      </c>
      <c r="C8" s="98"/>
      <c r="D8" s="203" t="str">
        <f>'Document Control'!C8</f>
        <v>Project</v>
      </c>
      <c r="E8" s="231"/>
      <c r="F8" s="199" t="s">
        <v>20</v>
      </c>
      <c r="G8" s="199"/>
      <c r="H8" s="197" t="str">
        <f>'Document Control'!G8</f>
        <v>1. Critical</v>
      </c>
      <c r="I8" s="223"/>
      <c r="J8" s="224"/>
      <c r="K8" s="1"/>
    </row>
    <row r="9" spans="1:26" ht="14.4" x14ac:dyDescent="0.25">
      <c r="B9" s="96" t="s">
        <v>22</v>
      </c>
      <c r="C9" s="98"/>
      <c r="D9" s="203">
        <f>'Document Control'!C9</f>
        <v>0</v>
      </c>
      <c r="E9" s="231"/>
      <c r="F9" s="199" t="s">
        <v>23</v>
      </c>
      <c r="G9" s="199"/>
      <c r="H9" s="92">
        <f>'Document Control'!G9</f>
        <v>0</v>
      </c>
      <c r="I9" s="90"/>
      <c r="J9" s="91"/>
      <c r="K9" s="1"/>
    </row>
    <row r="10" spans="1:26" ht="14.4" x14ac:dyDescent="0.25">
      <c r="B10" s="96"/>
      <c r="C10" s="98"/>
      <c r="D10" s="203" t="str">
        <f>'Document Control'!C10</f>
        <v xml:space="preserve"> </v>
      </c>
      <c r="E10" s="231"/>
      <c r="F10" s="199" t="s">
        <v>25</v>
      </c>
      <c r="G10" s="199"/>
      <c r="H10" s="92" t="str">
        <f>'Document Control'!G10</f>
        <v>FUN_Standard</v>
      </c>
      <c r="I10" s="90"/>
      <c r="J10" s="91"/>
      <c r="K10" s="1"/>
    </row>
    <row r="11" spans="1:26" ht="14.4" x14ac:dyDescent="0.25">
      <c r="B11" s="96"/>
      <c r="C11" s="98"/>
      <c r="D11" s="203" t="str">
        <f>'Document Control'!C11</f>
        <v xml:space="preserve"> </v>
      </c>
      <c r="E11" s="231"/>
      <c r="F11" s="199" t="s">
        <v>27</v>
      </c>
      <c r="G11" s="199"/>
      <c r="H11" s="197">
        <f>'Document Control'!G11</f>
        <v>8</v>
      </c>
      <c r="I11" s="223"/>
      <c r="J11" s="224"/>
      <c r="K11" s="1"/>
    </row>
    <row r="12" spans="1:26" ht="14.4" x14ac:dyDescent="0.25">
      <c r="B12" s="96" t="s">
        <v>28</v>
      </c>
      <c r="C12" s="98"/>
      <c r="D12" s="203">
        <f>'Document Control'!C12</f>
        <v>0</v>
      </c>
      <c r="E12" s="231"/>
      <c r="F12" s="199" t="s">
        <v>29</v>
      </c>
      <c r="G12" s="199"/>
      <c r="H12" s="197">
        <f>'Document Control'!G12</f>
        <v>0</v>
      </c>
      <c r="I12" s="223"/>
      <c r="J12" s="224"/>
      <c r="K12" s="1"/>
    </row>
    <row r="13" spans="1:26" x14ac:dyDescent="0.25">
      <c r="B13" s="25"/>
      <c r="C13" s="25"/>
      <c r="D13" s="25"/>
      <c r="E13" s="26"/>
      <c r="F13" s="26"/>
      <c r="G13" s="26"/>
      <c r="H13" s="26"/>
      <c r="I13" s="14"/>
      <c r="J13" s="14"/>
      <c r="K13" s="14"/>
    </row>
    <row r="14" spans="1:26" ht="14.4" x14ac:dyDescent="0.25">
      <c r="B14" s="233" t="s">
        <v>59</v>
      </c>
      <c r="C14" s="234"/>
      <c r="D14" s="234"/>
      <c r="E14" s="234"/>
      <c r="F14" s="234"/>
      <c r="G14" s="234"/>
      <c r="H14" s="234"/>
      <c r="I14" s="234"/>
      <c r="J14" s="234"/>
      <c r="K14" s="234"/>
      <c r="L14" s="234"/>
      <c r="M14" s="123"/>
      <c r="N14" s="123"/>
      <c r="O14" s="68"/>
    </row>
    <row r="15" spans="1:26" s="5" customFormat="1" ht="28.8" x14ac:dyDescent="0.3">
      <c r="B15" s="81" t="s">
        <v>328</v>
      </c>
      <c r="C15" s="82" t="s">
        <v>329</v>
      </c>
      <c r="D15" s="82" t="s">
        <v>330</v>
      </c>
      <c r="E15" s="82" t="s">
        <v>331</v>
      </c>
      <c r="F15" s="82" t="s">
        <v>332</v>
      </c>
      <c r="G15" s="82" t="s">
        <v>333</v>
      </c>
      <c r="H15" s="82" t="s">
        <v>334</v>
      </c>
      <c r="I15" s="82" t="s">
        <v>335</v>
      </c>
      <c r="J15" s="82" t="s">
        <v>336</v>
      </c>
      <c r="K15" s="82" t="s">
        <v>337</v>
      </c>
      <c r="L15" s="83" t="s">
        <v>338</v>
      </c>
      <c r="M15" s="82" t="s">
        <v>80</v>
      </c>
      <c r="N15" s="82" t="s">
        <v>47</v>
      </c>
      <c r="O15" s="82" t="s">
        <v>60</v>
      </c>
    </row>
    <row r="16" spans="1:26" ht="14.4" x14ac:dyDescent="0.25">
      <c r="B16" s="103" t="s">
        <v>142</v>
      </c>
      <c r="C16" s="104"/>
      <c r="D16" s="104"/>
      <c r="E16" s="103"/>
      <c r="F16" s="105"/>
      <c r="G16" s="103"/>
      <c r="H16" s="105"/>
      <c r="I16" s="103"/>
      <c r="J16" s="103"/>
      <c r="K16" s="103"/>
      <c r="L16" s="105"/>
      <c r="M16" s="132"/>
      <c r="N16" s="132"/>
      <c r="O16" s="103"/>
    </row>
    <row r="17" spans="2:15" ht="14.4" x14ac:dyDescent="0.25">
      <c r="B17" s="107" t="s">
        <v>142</v>
      </c>
      <c r="C17" s="107" t="s">
        <v>83</v>
      </c>
      <c r="D17" s="107" t="s">
        <v>339</v>
      </c>
      <c r="E17" s="108" t="s">
        <v>339</v>
      </c>
      <c r="F17" s="109"/>
      <c r="G17" s="108" t="s">
        <v>339</v>
      </c>
      <c r="H17" s="109"/>
      <c r="I17" s="107">
        <v>0</v>
      </c>
      <c r="J17" s="107" t="b">
        <v>0</v>
      </c>
      <c r="K17" s="108"/>
      <c r="L17" s="109"/>
      <c r="M17" s="133"/>
      <c r="N17" s="133"/>
      <c r="O17" s="107"/>
    </row>
    <row r="18" spans="2:15" ht="14.4" x14ac:dyDescent="0.25">
      <c r="B18" s="107" t="s">
        <v>142</v>
      </c>
      <c r="C18" s="107" t="s">
        <v>83</v>
      </c>
      <c r="D18" s="107" t="s">
        <v>340</v>
      </c>
      <c r="E18" s="108" t="s">
        <v>340</v>
      </c>
      <c r="F18" s="109"/>
      <c r="G18" s="108" t="s">
        <v>340</v>
      </c>
      <c r="H18" s="109"/>
      <c r="I18" s="107">
        <v>0</v>
      </c>
      <c r="J18" s="107" t="b">
        <v>0</v>
      </c>
      <c r="K18" s="108"/>
      <c r="L18" s="109"/>
      <c r="M18" s="133"/>
      <c r="N18" s="133"/>
      <c r="O18" s="107"/>
    </row>
    <row r="19" spans="2:15" ht="14.4" x14ac:dyDescent="0.25">
      <c r="B19" s="107" t="s">
        <v>142</v>
      </c>
      <c r="C19" s="107" t="s">
        <v>83</v>
      </c>
      <c r="D19" s="107" t="s">
        <v>341</v>
      </c>
      <c r="E19" s="108" t="s">
        <v>341</v>
      </c>
      <c r="F19" s="109"/>
      <c r="G19" s="108" t="s">
        <v>341</v>
      </c>
      <c r="H19" s="109"/>
      <c r="I19" s="107">
        <v>0</v>
      </c>
      <c r="J19" s="107" t="b">
        <v>0</v>
      </c>
      <c r="K19" s="108"/>
      <c r="L19" s="109"/>
      <c r="M19" s="133"/>
      <c r="N19" s="133"/>
      <c r="O19" s="107"/>
    </row>
    <row r="20" spans="2:15" ht="14.4" x14ac:dyDescent="0.25">
      <c r="B20" s="107" t="s">
        <v>142</v>
      </c>
      <c r="C20" s="107" t="s">
        <v>83</v>
      </c>
      <c r="D20" s="107" t="s">
        <v>342</v>
      </c>
      <c r="E20" s="108" t="s">
        <v>342</v>
      </c>
      <c r="F20" s="109"/>
      <c r="G20" s="108" t="s">
        <v>342</v>
      </c>
      <c r="H20" s="109"/>
      <c r="I20" s="108">
        <v>0</v>
      </c>
      <c r="J20" s="108" t="b">
        <v>0</v>
      </c>
      <c r="K20" s="108"/>
      <c r="L20" s="109"/>
      <c r="M20" s="134"/>
      <c r="N20" s="134"/>
      <c r="O20" s="108"/>
    </row>
    <row r="21" spans="2:15" ht="14.4" x14ac:dyDescent="0.25">
      <c r="B21" s="107" t="s">
        <v>142</v>
      </c>
      <c r="C21" s="107" t="s">
        <v>83</v>
      </c>
      <c r="D21" s="108" t="s">
        <v>343</v>
      </c>
      <c r="E21" s="108" t="s">
        <v>343</v>
      </c>
      <c r="F21" s="109"/>
      <c r="G21" s="108" t="s">
        <v>343</v>
      </c>
      <c r="H21" s="109"/>
      <c r="I21" s="108">
        <v>0</v>
      </c>
      <c r="J21" s="108" t="b">
        <v>0</v>
      </c>
      <c r="K21" s="108"/>
      <c r="L21" s="109"/>
      <c r="M21" s="134"/>
      <c r="N21" s="134"/>
      <c r="O21" s="108"/>
    </row>
    <row r="22" spans="2:15" ht="14.4" x14ac:dyDescent="0.25">
      <c r="B22" s="107" t="s">
        <v>142</v>
      </c>
      <c r="C22" s="107" t="s">
        <v>83</v>
      </c>
      <c r="D22" s="108" t="s">
        <v>344</v>
      </c>
      <c r="E22" s="108" t="s">
        <v>344</v>
      </c>
      <c r="F22" s="109"/>
      <c r="G22" s="108" t="s">
        <v>344</v>
      </c>
      <c r="H22" s="109"/>
      <c r="I22" s="108">
        <v>0</v>
      </c>
      <c r="J22" s="108" t="b">
        <v>0</v>
      </c>
      <c r="K22" s="108"/>
      <c r="L22" s="109"/>
      <c r="M22" s="134"/>
      <c r="N22" s="134"/>
      <c r="O22" s="108"/>
    </row>
    <row r="23" spans="2:15" ht="14.4" x14ac:dyDescent="0.25">
      <c r="B23" s="107" t="s">
        <v>142</v>
      </c>
      <c r="C23" s="107" t="s">
        <v>83</v>
      </c>
      <c r="D23" s="108" t="s">
        <v>345</v>
      </c>
      <c r="E23" s="108" t="s">
        <v>345</v>
      </c>
      <c r="F23" s="109"/>
      <c r="G23" s="108" t="s">
        <v>345</v>
      </c>
      <c r="H23" s="109"/>
      <c r="I23" s="108">
        <v>0</v>
      </c>
      <c r="J23" s="108" t="b">
        <v>0</v>
      </c>
      <c r="K23" s="108"/>
      <c r="L23" s="109"/>
      <c r="M23" s="134"/>
      <c r="N23" s="134"/>
      <c r="O23" s="108"/>
    </row>
    <row r="24" spans="2:15" ht="14.4" x14ac:dyDescent="0.25">
      <c r="B24" s="107" t="s">
        <v>142</v>
      </c>
      <c r="C24" s="107" t="s">
        <v>83</v>
      </c>
      <c r="D24" s="108" t="s">
        <v>346</v>
      </c>
      <c r="E24" s="108" t="s">
        <v>346</v>
      </c>
      <c r="F24" s="109"/>
      <c r="G24" s="108" t="s">
        <v>346</v>
      </c>
      <c r="H24" s="109"/>
      <c r="I24" s="108">
        <v>0</v>
      </c>
      <c r="J24" s="108" t="b">
        <v>0</v>
      </c>
      <c r="K24" s="108"/>
      <c r="L24" s="109"/>
      <c r="M24" s="134"/>
      <c r="N24" s="134"/>
      <c r="O24" s="108"/>
    </row>
    <row r="25" spans="2:15" ht="15" customHeight="1" x14ac:dyDescent="0.25">
      <c r="B25" s="107" t="s">
        <v>142</v>
      </c>
      <c r="C25" s="107" t="s">
        <v>83</v>
      </c>
      <c r="D25" s="108" t="s">
        <v>347</v>
      </c>
      <c r="E25" s="108" t="s">
        <v>347</v>
      </c>
      <c r="F25" s="109"/>
      <c r="G25" s="108" t="s">
        <v>347</v>
      </c>
      <c r="H25" s="109"/>
      <c r="I25" s="108">
        <v>0</v>
      </c>
      <c r="J25" s="108" t="b">
        <v>0</v>
      </c>
      <c r="K25" s="108"/>
      <c r="L25" s="109"/>
      <c r="M25" s="134"/>
      <c r="N25" s="134"/>
      <c r="O25" s="108"/>
    </row>
    <row r="26" spans="2:15" ht="14.4" x14ac:dyDescent="0.25">
      <c r="B26" s="107" t="s">
        <v>142</v>
      </c>
      <c r="C26" s="107" t="s">
        <v>83</v>
      </c>
      <c r="D26" s="108" t="s">
        <v>348</v>
      </c>
      <c r="E26" s="108" t="s">
        <v>348</v>
      </c>
      <c r="F26" s="109"/>
      <c r="G26" s="108" t="s">
        <v>348</v>
      </c>
      <c r="H26" s="109"/>
      <c r="I26" s="108">
        <v>0</v>
      </c>
      <c r="J26" s="108" t="b">
        <v>0</v>
      </c>
      <c r="K26" s="108"/>
      <c r="L26" s="109"/>
      <c r="M26" s="134"/>
      <c r="N26" s="134"/>
      <c r="O26" s="108"/>
    </row>
    <row r="27" spans="2:15" ht="14.4" x14ac:dyDescent="0.25">
      <c r="B27" s="107" t="s">
        <v>142</v>
      </c>
      <c r="C27" s="107" t="s">
        <v>83</v>
      </c>
      <c r="D27" s="108" t="s">
        <v>349</v>
      </c>
      <c r="E27" s="108" t="s">
        <v>349</v>
      </c>
      <c r="F27" s="109"/>
      <c r="G27" s="108" t="s">
        <v>349</v>
      </c>
      <c r="H27" s="109"/>
      <c r="I27" s="108">
        <v>0</v>
      </c>
      <c r="J27" s="108" t="b">
        <v>0</v>
      </c>
      <c r="K27" s="108"/>
      <c r="L27" s="109"/>
      <c r="M27" s="134"/>
      <c r="N27" s="134"/>
      <c r="O27" s="108"/>
    </row>
    <row r="28" spans="2:15" ht="14.4" x14ac:dyDescent="0.25">
      <c r="B28" s="107" t="s">
        <v>142</v>
      </c>
      <c r="C28" s="107" t="s">
        <v>83</v>
      </c>
      <c r="D28" s="108" t="s">
        <v>350</v>
      </c>
      <c r="E28" s="108" t="s">
        <v>350</v>
      </c>
      <c r="F28" s="109"/>
      <c r="G28" s="108" t="s">
        <v>350</v>
      </c>
      <c r="H28" s="109"/>
      <c r="I28" s="108">
        <v>0</v>
      </c>
      <c r="J28" s="108" t="b">
        <v>0</v>
      </c>
      <c r="K28" s="108"/>
      <c r="L28" s="109"/>
      <c r="M28" s="134"/>
      <c r="N28" s="134"/>
      <c r="O28" s="108"/>
    </row>
    <row r="29" spans="2:15" ht="14.4" x14ac:dyDescent="0.25">
      <c r="B29" s="107" t="s">
        <v>142</v>
      </c>
      <c r="C29" s="107" t="s">
        <v>83</v>
      </c>
      <c r="D29" s="108" t="s">
        <v>351</v>
      </c>
      <c r="E29" s="108" t="s">
        <v>351</v>
      </c>
      <c r="F29" s="109"/>
      <c r="G29" s="108" t="s">
        <v>351</v>
      </c>
      <c r="H29" s="109"/>
      <c r="I29" s="108">
        <v>0</v>
      </c>
      <c r="J29" s="108" t="b">
        <v>0</v>
      </c>
      <c r="K29" s="108"/>
      <c r="L29" s="109"/>
      <c r="M29" s="134"/>
      <c r="N29" s="134"/>
      <c r="O29" s="108"/>
    </row>
    <row r="30" spans="2:15" ht="14.4" x14ac:dyDescent="0.25">
      <c r="B30" s="107" t="s">
        <v>142</v>
      </c>
      <c r="C30" s="107" t="s">
        <v>83</v>
      </c>
      <c r="D30" s="108" t="s">
        <v>352</v>
      </c>
      <c r="E30" s="108" t="s">
        <v>352</v>
      </c>
      <c r="F30" s="110"/>
      <c r="G30" s="108" t="s">
        <v>352</v>
      </c>
      <c r="H30" s="110"/>
      <c r="I30" s="108">
        <v>0</v>
      </c>
      <c r="J30" s="108" t="b">
        <v>0</v>
      </c>
      <c r="K30" s="108"/>
      <c r="L30" s="110"/>
      <c r="M30" s="134"/>
      <c r="N30" s="134"/>
      <c r="O30" s="108"/>
    </row>
    <row r="31" spans="2:15" ht="14.4" x14ac:dyDescent="0.25">
      <c r="B31" s="107" t="s">
        <v>142</v>
      </c>
      <c r="C31" s="107" t="s">
        <v>83</v>
      </c>
      <c r="D31" s="108" t="s">
        <v>353</v>
      </c>
      <c r="E31" s="108" t="s">
        <v>353</v>
      </c>
      <c r="F31" s="110"/>
      <c r="G31" s="108" t="s">
        <v>353</v>
      </c>
      <c r="H31" s="110"/>
      <c r="I31" s="108">
        <v>0</v>
      </c>
      <c r="J31" s="108" t="b">
        <v>0</v>
      </c>
      <c r="K31" s="108"/>
      <c r="L31" s="110"/>
      <c r="M31" s="134"/>
      <c r="N31" s="134"/>
      <c r="O31" s="108"/>
    </row>
    <row r="32" spans="2:15" ht="14.4" x14ac:dyDescent="0.25">
      <c r="B32" s="107" t="s">
        <v>142</v>
      </c>
      <c r="C32" s="107" t="s">
        <v>83</v>
      </c>
      <c r="D32" s="108" t="s">
        <v>354</v>
      </c>
      <c r="E32" s="108" t="s">
        <v>354</v>
      </c>
      <c r="F32" s="110"/>
      <c r="G32" s="108" t="s">
        <v>354</v>
      </c>
      <c r="H32" s="110"/>
      <c r="I32" s="108">
        <v>0</v>
      </c>
      <c r="J32" s="108" t="b">
        <v>0</v>
      </c>
      <c r="K32" s="108"/>
      <c r="L32" s="110"/>
      <c r="M32" s="134"/>
      <c r="N32" s="134"/>
      <c r="O32" s="108"/>
    </row>
    <row r="33" spans="2:15" ht="14.4" x14ac:dyDescent="0.25">
      <c r="B33" s="103" t="s">
        <v>279</v>
      </c>
      <c r="C33" s="104"/>
      <c r="D33" s="103"/>
      <c r="E33" s="103"/>
      <c r="F33" s="106"/>
      <c r="G33" s="103"/>
      <c r="H33" s="106"/>
      <c r="I33" s="103"/>
      <c r="J33" s="103"/>
      <c r="K33" s="103"/>
      <c r="L33" s="106"/>
      <c r="M33" s="132"/>
      <c r="N33" s="132"/>
      <c r="O33" s="103"/>
    </row>
    <row r="34" spans="2:15" ht="14.4" x14ac:dyDescent="0.25">
      <c r="B34" s="107" t="s">
        <v>279</v>
      </c>
      <c r="C34" s="107" t="s">
        <v>83</v>
      </c>
      <c r="D34" s="108" t="s">
        <v>355</v>
      </c>
      <c r="E34" s="108" t="s">
        <v>355</v>
      </c>
      <c r="F34" s="110"/>
      <c r="G34" s="108" t="s">
        <v>355</v>
      </c>
      <c r="H34" s="110"/>
      <c r="I34" s="108">
        <v>0</v>
      </c>
      <c r="J34" s="108" t="b">
        <v>0</v>
      </c>
      <c r="K34" s="108"/>
      <c r="L34" s="110"/>
      <c r="M34" s="134"/>
      <c r="N34" s="134"/>
      <c r="O34" s="108"/>
    </row>
    <row r="35" spans="2:15" ht="14.4" x14ac:dyDescent="0.25">
      <c r="B35" s="107" t="s">
        <v>279</v>
      </c>
      <c r="C35" s="107" t="s">
        <v>83</v>
      </c>
      <c r="D35" s="108" t="s">
        <v>356</v>
      </c>
      <c r="E35" s="108" t="s">
        <v>356</v>
      </c>
      <c r="F35" s="110"/>
      <c r="G35" s="108" t="s">
        <v>356</v>
      </c>
      <c r="H35" s="110"/>
      <c r="I35" s="108">
        <v>0</v>
      </c>
      <c r="J35" s="108" t="b">
        <v>0</v>
      </c>
      <c r="K35" s="108"/>
      <c r="L35" s="110"/>
      <c r="M35" s="134"/>
      <c r="N35" s="134"/>
      <c r="O35" s="108"/>
    </row>
    <row r="36" spans="2:15" ht="14.4" x14ac:dyDescent="0.25">
      <c r="B36" s="107" t="s">
        <v>279</v>
      </c>
      <c r="C36" s="107" t="s">
        <v>83</v>
      </c>
      <c r="D36" s="108" t="s">
        <v>357</v>
      </c>
      <c r="E36" s="108" t="s">
        <v>357</v>
      </c>
      <c r="F36" s="110"/>
      <c r="G36" s="108" t="s">
        <v>357</v>
      </c>
      <c r="H36" s="110"/>
      <c r="I36" s="108">
        <v>0</v>
      </c>
      <c r="J36" s="108" t="b">
        <v>0</v>
      </c>
      <c r="K36" s="108"/>
      <c r="L36" s="110"/>
      <c r="M36" s="134"/>
      <c r="N36" s="134"/>
      <c r="O36" s="108"/>
    </row>
    <row r="37" spans="2:15" ht="14.4" x14ac:dyDescent="0.25">
      <c r="B37" s="107" t="s">
        <v>279</v>
      </c>
      <c r="C37" s="107" t="s">
        <v>83</v>
      </c>
      <c r="D37" s="108" t="s">
        <v>358</v>
      </c>
      <c r="E37" s="108" t="s">
        <v>358</v>
      </c>
      <c r="F37" s="110"/>
      <c r="G37" s="108" t="s">
        <v>358</v>
      </c>
      <c r="H37" s="110"/>
      <c r="I37" s="108">
        <v>0</v>
      </c>
      <c r="J37" s="108" t="b">
        <v>0</v>
      </c>
      <c r="K37" s="108"/>
      <c r="L37" s="110"/>
      <c r="M37" s="134"/>
      <c r="N37" s="134"/>
      <c r="O37" s="108"/>
    </row>
    <row r="38" spans="2:15" ht="14.4" x14ac:dyDescent="0.25">
      <c r="B38" s="107" t="s">
        <v>279</v>
      </c>
      <c r="C38" s="107" t="s">
        <v>83</v>
      </c>
      <c r="D38" s="108" t="s">
        <v>359</v>
      </c>
      <c r="E38" s="108" t="s">
        <v>359</v>
      </c>
      <c r="F38" s="110"/>
      <c r="G38" s="108" t="s">
        <v>359</v>
      </c>
      <c r="H38" s="110"/>
      <c r="I38" s="108">
        <v>0</v>
      </c>
      <c r="J38" s="108" t="b">
        <v>0</v>
      </c>
      <c r="K38" s="108"/>
      <c r="L38" s="110"/>
      <c r="M38" s="134"/>
      <c r="N38" s="134"/>
      <c r="O38" s="108"/>
    </row>
    <row r="39" spans="2:15" ht="14.4" x14ac:dyDescent="0.25">
      <c r="B39" s="107" t="s">
        <v>279</v>
      </c>
      <c r="C39" s="107" t="s">
        <v>83</v>
      </c>
      <c r="D39" s="108" t="s">
        <v>360</v>
      </c>
      <c r="E39" s="108" t="s">
        <v>360</v>
      </c>
      <c r="F39" s="110"/>
      <c r="G39" s="108" t="s">
        <v>360</v>
      </c>
      <c r="H39" s="110"/>
      <c r="I39" s="108">
        <v>0</v>
      </c>
      <c r="J39" s="108" t="b">
        <v>0</v>
      </c>
      <c r="K39" s="108"/>
      <c r="L39" s="110"/>
      <c r="M39" s="134"/>
      <c r="N39" s="134"/>
      <c r="O39" s="108"/>
    </row>
    <row r="40" spans="2:15" ht="14.4" x14ac:dyDescent="0.25">
      <c r="B40" s="107" t="s">
        <v>279</v>
      </c>
      <c r="C40" s="107" t="s">
        <v>83</v>
      </c>
      <c r="D40" s="108" t="s">
        <v>361</v>
      </c>
      <c r="E40" s="108" t="s">
        <v>361</v>
      </c>
      <c r="F40" s="110"/>
      <c r="G40" s="108" t="s">
        <v>361</v>
      </c>
      <c r="H40" s="110"/>
      <c r="I40" s="108">
        <v>0</v>
      </c>
      <c r="J40" s="108" t="b">
        <v>0</v>
      </c>
      <c r="K40" s="108"/>
      <c r="L40" s="110"/>
      <c r="M40" s="134"/>
      <c r="N40" s="134"/>
      <c r="O40" s="108"/>
    </row>
    <row r="41" spans="2:15" ht="14.4" x14ac:dyDescent="0.25">
      <c r="B41" s="107" t="s">
        <v>279</v>
      </c>
      <c r="C41" s="107" t="s">
        <v>83</v>
      </c>
      <c r="D41" s="108" t="s">
        <v>362</v>
      </c>
      <c r="E41" s="108" t="s">
        <v>362</v>
      </c>
      <c r="F41" s="110"/>
      <c r="G41" s="108" t="s">
        <v>362</v>
      </c>
      <c r="H41" s="110"/>
      <c r="I41" s="108">
        <v>0</v>
      </c>
      <c r="J41" s="108" t="b">
        <v>0</v>
      </c>
      <c r="K41" s="108"/>
      <c r="L41" s="110"/>
      <c r="M41" s="134"/>
      <c r="N41" s="134"/>
      <c r="O41" s="108"/>
    </row>
    <row r="42" spans="2:15" ht="14.4" x14ac:dyDescent="0.25">
      <c r="B42" s="107" t="s">
        <v>279</v>
      </c>
      <c r="C42" s="107" t="s">
        <v>83</v>
      </c>
      <c r="D42" s="108" t="s">
        <v>363</v>
      </c>
      <c r="E42" s="108" t="s">
        <v>363</v>
      </c>
      <c r="F42" s="110"/>
      <c r="G42" s="108" t="s">
        <v>363</v>
      </c>
      <c r="H42" s="110"/>
      <c r="I42" s="108">
        <v>0</v>
      </c>
      <c r="J42" s="108" t="b">
        <v>0</v>
      </c>
      <c r="K42" s="108"/>
      <c r="L42" s="110"/>
      <c r="M42" s="134"/>
      <c r="N42" s="134"/>
      <c r="O42" s="108"/>
    </row>
    <row r="43" spans="2:15" ht="14.4" x14ac:dyDescent="0.25">
      <c r="B43" s="107" t="s">
        <v>279</v>
      </c>
      <c r="C43" s="107" t="s">
        <v>83</v>
      </c>
      <c r="D43" s="108" t="s">
        <v>364</v>
      </c>
      <c r="E43" s="108" t="s">
        <v>364</v>
      </c>
      <c r="F43" s="110"/>
      <c r="G43" s="108" t="s">
        <v>364</v>
      </c>
      <c r="H43" s="110"/>
      <c r="I43" s="108">
        <v>0</v>
      </c>
      <c r="J43" s="108" t="b">
        <v>0</v>
      </c>
      <c r="K43" s="108"/>
      <c r="L43" s="110"/>
      <c r="M43" s="134"/>
      <c r="N43" s="134"/>
      <c r="O43" s="108"/>
    </row>
    <row r="44" spans="2:15" ht="14.4" x14ac:dyDescent="0.25">
      <c r="B44" s="107" t="s">
        <v>279</v>
      </c>
      <c r="C44" s="107" t="s">
        <v>83</v>
      </c>
      <c r="D44" s="108" t="s">
        <v>365</v>
      </c>
      <c r="E44" s="108" t="s">
        <v>365</v>
      </c>
      <c r="F44" s="110"/>
      <c r="G44" s="108" t="s">
        <v>365</v>
      </c>
      <c r="H44" s="110"/>
      <c r="I44" s="108">
        <v>0</v>
      </c>
      <c r="J44" s="108" t="b">
        <v>0</v>
      </c>
      <c r="K44" s="108"/>
      <c r="L44" s="110"/>
      <c r="M44" s="134"/>
      <c r="N44" s="134"/>
      <c r="O44" s="108"/>
    </row>
    <row r="45" spans="2:15" ht="14.4" x14ac:dyDescent="0.25">
      <c r="B45" s="107" t="s">
        <v>279</v>
      </c>
      <c r="C45" s="107" t="s">
        <v>83</v>
      </c>
      <c r="D45" s="108" t="s">
        <v>366</v>
      </c>
      <c r="E45" s="108" t="s">
        <v>366</v>
      </c>
      <c r="F45" s="110"/>
      <c r="G45" s="108" t="s">
        <v>366</v>
      </c>
      <c r="H45" s="110"/>
      <c r="I45" s="108">
        <v>0</v>
      </c>
      <c r="J45" s="108" t="b">
        <v>0</v>
      </c>
      <c r="K45" s="108"/>
      <c r="L45" s="110"/>
      <c r="M45" s="134"/>
      <c r="N45" s="134"/>
      <c r="O45" s="108"/>
    </row>
    <row r="46" spans="2:15" ht="14.4" x14ac:dyDescent="0.25">
      <c r="B46" s="107" t="s">
        <v>279</v>
      </c>
      <c r="C46" s="107" t="s">
        <v>83</v>
      </c>
      <c r="D46" s="108" t="s">
        <v>367</v>
      </c>
      <c r="E46" s="108" t="s">
        <v>367</v>
      </c>
      <c r="F46" s="110"/>
      <c r="G46" s="108" t="s">
        <v>367</v>
      </c>
      <c r="H46" s="110"/>
      <c r="I46" s="108">
        <v>0</v>
      </c>
      <c r="J46" s="108" t="b">
        <v>0</v>
      </c>
      <c r="K46" s="108"/>
      <c r="L46" s="110"/>
      <c r="M46" s="134"/>
      <c r="N46" s="134"/>
      <c r="O46" s="108"/>
    </row>
    <row r="47" spans="2:15" ht="14.4" x14ac:dyDescent="0.25">
      <c r="B47" s="107" t="s">
        <v>279</v>
      </c>
      <c r="C47" s="107" t="s">
        <v>83</v>
      </c>
      <c r="D47" s="108" t="s">
        <v>368</v>
      </c>
      <c r="E47" s="108" t="s">
        <v>368</v>
      </c>
      <c r="F47" s="110"/>
      <c r="G47" s="108" t="s">
        <v>368</v>
      </c>
      <c r="H47" s="110"/>
      <c r="I47" s="108">
        <v>0</v>
      </c>
      <c r="J47" s="108" t="b">
        <v>0</v>
      </c>
      <c r="K47" s="108"/>
      <c r="L47" s="110"/>
      <c r="M47" s="134"/>
      <c r="N47" s="134"/>
      <c r="O47" s="108"/>
    </row>
    <row r="48" spans="2:15" ht="14.4" x14ac:dyDescent="0.25">
      <c r="B48" s="107" t="s">
        <v>279</v>
      </c>
      <c r="C48" s="107" t="s">
        <v>83</v>
      </c>
      <c r="D48" s="108" t="s">
        <v>369</v>
      </c>
      <c r="E48" s="108" t="s">
        <v>369</v>
      </c>
      <c r="F48" s="110"/>
      <c r="G48" s="108" t="s">
        <v>369</v>
      </c>
      <c r="H48" s="110"/>
      <c r="I48" s="108">
        <v>0</v>
      </c>
      <c r="J48" s="108" t="b">
        <v>0</v>
      </c>
      <c r="K48" s="108"/>
      <c r="L48" s="110"/>
      <c r="M48" s="134"/>
      <c r="N48" s="134"/>
      <c r="O48" s="108"/>
    </row>
    <row r="49" spans="2:15" ht="14.4" x14ac:dyDescent="0.25">
      <c r="B49" s="107" t="s">
        <v>279</v>
      </c>
      <c r="C49" s="107" t="s">
        <v>83</v>
      </c>
      <c r="D49" s="108" t="s">
        <v>370</v>
      </c>
      <c r="E49" s="108" t="s">
        <v>370</v>
      </c>
      <c r="F49" s="110"/>
      <c r="G49" s="108" t="s">
        <v>370</v>
      </c>
      <c r="H49" s="110"/>
      <c r="I49" s="108">
        <v>0</v>
      </c>
      <c r="J49" s="108" t="b">
        <v>0</v>
      </c>
      <c r="K49" s="108"/>
      <c r="L49" s="110"/>
      <c r="M49" s="134"/>
      <c r="N49" s="134"/>
      <c r="O49" s="108"/>
    </row>
    <row r="50" spans="2:15" ht="14.4" x14ac:dyDescent="0.25">
      <c r="B50" s="107" t="s">
        <v>279</v>
      </c>
      <c r="C50" s="107" t="s">
        <v>83</v>
      </c>
      <c r="D50" s="108" t="s">
        <v>371</v>
      </c>
      <c r="E50" s="108" t="s">
        <v>371</v>
      </c>
      <c r="F50" s="110"/>
      <c r="G50" s="108" t="s">
        <v>371</v>
      </c>
      <c r="H50" s="110"/>
      <c r="I50" s="108">
        <v>0</v>
      </c>
      <c r="J50" s="108" t="b">
        <v>0</v>
      </c>
      <c r="K50" s="108"/>
      <c r="L50" s="110"/>
      <c r="M50" s="134"/>
      <c r="N50" s="134"/>
      <c r="O50" s="108"/>
    </row>
    <row r="51" spans="2:15" ht="14.4" x14ac:dyDescent="0.25">
      <c r="B51" s="107" t="s">
        <v>279</v>
      </c>
      <c r="C51" s="107" t="s">
        <v>83</v>
      </c>
      <c r="D51" s="108" t="s">
        <v>372</v>
      </c>
      <c r="E51" s="108" t="s">
        <v>372</v>
      </c>
      <c r="F51" s="110"/>
      <c r="G51" s="108" t="s">
        <v>372</v>
      </c>
      <c r="H51" s="110"/>
      <c r="I51" s="108">
        <v>0</v>
      </c>
      <c r="J51" s="108" t="b">
        <v>0</v>
      </c>
      <c r="K51" s="108"/>
      <c r="L51" s="110"/>
      <c r="M51" s="134"/>
      <c r="N51" s="134"/>
      <c r="O51" s="108"/>
    </row>
    <row r="52" spans="2:15" ht="14.4" x14ac:dyDescent="0.25">
      <c r="B52" s="107" t="s">
        <v>279</v>
      </c>
      <c r="C52" s="107" t="s">
        <v>83</v>
      </c>
      <c r="D52" s="108" t="s">
        <v>373</v>
      </c>
      <c r="E52" s="108" t="s">
        <v>373</v>
      </c>
      <c r="F52" s="110"/>
      <c r="G52" s="108" t="s">
        <v>373</v>
      </c>
      <c r="H52" s="110"/>
      <c r="I52" s="108">
        <v>0</v>
      </c>
      <c r="J52" s="108" t="b">
        <v>0</v>
      </c>
      <c r="K52" s="108"/>
      <c r="L52" s="110"/>
      <c r="M52" s="134"/>
      <c r="N52" s="134"/>
      <c r="O52" s="108"/>
    </row>
    <row r="53" spans="2:15" ht="14.4" x14ac:dyDescent="0.25">
      <c r="B53" s="107" t="s">
        <v>279</v>
      </c>
      <c r="C53" s="107" t="s">
        <v>83</v>
      </c>
      <c r="D53" s="108" t="s">
        <v>374</v>
      </c>
      <c r="E53" s="108" t="s">
        <v>374</v>
      </c>
      <c r="F53" s="110"/>
      <c r="G53" s="108" t="s">
        <v>374</v>
      </c>
      <c r="H53" s="110"/>
      <c r="I53" s="108">
        <v>0</v>
      </c>
      <c r="J53" s="108" t="b">
        <v>0</v>
      </c>
      <c r="K53" s="108"/>
      <c r="L53" s="110"/>
      <c r="M53" s="134"/>
      <c r="N53" s="134"/>
      <c r="O53" s="108"/>
    </row>
    <row r="54" spans="2:15" ht="14.4" x14ac:dyDescent="0.25">
      <c r="B54" s="107" t="s">
        <v>279</v>
      </c>
      <c r="C54" s="107" t="s">
        <v>83</v>
      </c>
      <c r="D54" s="108" t="s">
        <v>375</v>
      </c>
      <c r="E54" s="108" t="s">
        <v>375</v>
      </c>
      <c r="F54" s="110"/>
      <c r="G54" s="108" t="s">
        <v>375</v>
      </c>
      <c r="H54" s="110"/>
      <c r="I54" s="108">
        <v>0</v>
      </c>
      <c r="J54" s="108" t="b">
        <v>0</v>
      </c>
      <c r="K54" s="108"/>
      <c r="L54" s="110"/>
      <c r="M54" s="134"/>
      <c r="N54" s="134"/>
      <c r="O54" s="108"/>
    </row>
    <row r="55" spans="2:15" ht="14.4" x14ac:dyDescent="0.25">
      <c r="B55" s="107" t="s">
        <v>279</v>
      </c>
      <c r="C55" s="107" t="s">
        <v>83</v>
      </c>
      <c r="D55" s="108" t="s">
        <v>376</v>
      </c>
      <c r="E55" s="108" t="s">
        <v>376</v>
      </c>
      <c r="F55" s="110"/>
      <c r="G55" s="108" t="s">
        <v>376</v>
      </c>
      <c r="H55" s="110"/>
      <c r="I55" s="108">
        <v>0</v>
      </c>
      <c r="J55" s="108" t="b">
        <v>0</v>
      </c>
      <c r="K55" s="108"/>
      <c r="L55" s="110"/>
      <c r="M55" s="134"/>
      <c r="N55" s="134"/>
      <c r="O55" s="108"/>
    </row>
    <row r="56" spans="2:15" ht="14.4" x14ac:dyDescent="0.25">
      <c r="B56" s="107" t="s">
        <v>279</v>
      </c>
      <c r="C56" s="107" t="s">
        <v>83</v>
      </c>
      <c r="D56" s="108" t="s">
        <v>377</v>
      </c>
      <c r="E56" s="108" t="s">
        <v>377</v>
      </c>
      <c r="F56" s="110"/>
      <c r="G56" s="108" t="s">
        <v>377</v>
      </c>
      <c r="H56" s="110"/>
      <c r="I56" s="108">
        <v>0</v>
      </c>
      <c r="J56" s="108" t="b">
        <v>0</v>
      </c>
      <c r="K56" s="108"/>
      <c r="L56" s="110"/>
      <c r="M56" s="134"/>
      <c r="N56" s="134"/>
      <c r="O56" s="108"/>
    </row>
    <row r="57" spans="2:15" ht="14.4" x14ac:dyDescent="0.25">
      <c r="B57" s="107" t="s">
        <v>279</v>
      </c>
      <c r="C57" s="107" t="s">
        <v>83</v>
      </c>
      <c r="D57" s="108" t="s">
        <v>378</v>
      </c>
      <c r="E57" s="108" t="s">
        <v>378</v>
      </c>
      <c r="F57" s="110"/>
      <c r="G57" s="108" t="s">
        <v>378</v>
      </c>
      <c r="H57" s="110"/>
      <c r="I57" s="108">
        <v>0</v>
      </c>
      <c r="J57" s="108" t="b">
        <v>0</v>
      </c>
      <c r="K57" s="108"/>
      <c r="L57" s="110"/>
      <c r="M57" s="134"/>
      <c r="N57" s="134"/>
      <c r="O57" s="108"/>
    </row>
    <row r="58" spans="2:15" ht="14.4" x14ac:dyDescent="0.25">
      <c r="B58" s="107" t="s">
        <v>279</v>
      </c>
      <c r="C58" s="107" t="s">
        <v>83</v>
      </c>
      <c r="D58" s="108" t="s">
        <v>379</v>
      </c>
      <c r="E58" s="108" t="s">
        <v>379</v>
      </c>
      <c r="F58" s="110"/>
      <c r="G58" s="108" t="s">
        <v>379</v>
      </c>
      <c r="H58" s="110"/>
      <c r="I58" s="108">
        <v>0</v>
      </c>
      <c r="J58" s="108" t="b">
        <v>0</v>
      </c>
      <c r="K58" s="108"/>
      <c r="L58" s="110"/>
      <c r="M58" s="134"/>
      <c r="N58" s="134"/>
      <c r="O58" s="108"/>
    </row>
    <row r="59" spans="2:15" ht="14.4" x14ac:dyDescent="0.25">
      <c r="B59" s="107" t="s">
        <v>279</v>
      </c>
      <c r="C59" s="107" t="s">
        <v>83</v>
      </c>
      <c r="D59" s="108" t="s">
        <v>380</v>
      </c>
      <c r="E59" s="108" t="s">
        <v>380</v>
      </c>
      <c r="F59" s="110"/>
      <c r="G59" s="108" t="s">
        <v>380</v>
      </c>
      <c r="H59" s="110"/>
      <c r="I59" s="108">
        <v>0</v>
      </c>
      <c r="J59" s="108" t="b">
        <v>0</v>
      </c>
      <c r="K59" s="108"/>
      <c r="L59" s="110"/>
      <c r="M59" s="134"/>
      <c r="N59" s="134"/>
      <c r="O59" s="108"/>
    </row>
    <row r="60" spans="2:15" ht="14.4" x14ac:dyDescent="0.25">
      <c r="B60" s="107" t="s">
        <v>279</v>
      </c>
      <c r="C60" s="107" t="s">
        <v>83</v>
      </c>
      <c r="D60" s="108" t="s">
        <v>381</v>
      </c>
      <c r="E60" s="108" t="s">
        <v>381</v>
      </c>
      <c r="F60" s="112"/>
      <c r="G60" s="108" t="s">
        <v>381</v>
      </c>
      <c r="H60" s="112"/>
      <c r="I60" s="108">
        <v>0</v>
      </c>
      <c r="J60" s="108" t="b">
        <v>0</v>
      </c>
      <c r="K60" s="108"/>
      <c r="L60" s="112"/>
      <c r="M60" s="134"/>
      <c r="N60" s="134"/>
      <c r="O60" s="108"/>
    </row>
    <row r="61" spans="2:15" ht="14.4" x14ac:dyDescent="0.25">
      <c r="B61" s="107" t="s">
        <v>279</v>
      </c>
      <c r="C61" s="107" t="s">
        <v>83</v>
      </c>
      <c r="D61" s="108" t="s">
        <v>382</v>
      </c>
      <c r="E61" s="108" t="s">
        <v>382</v>
      </c>
      <c r="F61" s="112"/>
      <c r="G61" s="108" t="s">
        <v>382</v>
      </c>
      <c r="H61" s="112"/>
      <c r="I61" s="108">
        <v>0</v>
      </c>
      <c r="J61" s="108" t="b">
        <v>0</v>
      </c>
      <c r="K61" s="108"/>
      <c r="L61" s="112"/>
      <c r="M61" s="134"/>
      <c r="N61" s="134"/>
      <c r="O61" s="108"/>
    </row>
    <row r="62" spans="2:15" ht="14.4" x14ac:dyDescent="0.25">
      <c r="B62" s="107" t="s">
        <v>279</v>
      </c>
      <c r="C62" s="107" t="s">
        <v>83</v>
      </c>
      <c r="D62" s="108" t="s">
        <v>383</v>
      </c>
      <c r="E62" s="108" t="s">
        <v>383</v>
      </c>
      <c r="F62" s="112"/>
      <c r="G62" s="108" t="s">
        <v>383</v>
      </c>
      <c r="H62" s="112"/>
      <c r="I62" s="108">
        <v>0</v>
      </c>
      <c r="J62" s="108" t="b">
        <v>0</v>
      </c>
      <c r="K62" s="108"/>
      <c r="L62" s="112"/>
      <c r="M62" s="134"/>
      <c r="N62" s="134"/>
      <c r="O62" s="108"/>
    </row>
    <row r="63" spans="2:15" ht="14.4" x14ac:dyDescent="0.25">
      <c r="B63" s="107" t="s">
        <v>279</v>
      </c>
      <c r="C63" s="107" t="s">
        <v>83</v>
      </c>
      <c r="D63" s="108" t="s">
        <v>384</v>
      </c>
      <c r="E63" s="108" t="s">
        <v>384</v>
      </c>
      <c r="F63" s="112"/>
      <c r="G63" s="108" t="s">
        <v>384</v>
      </c>
      <c r="H63" s="112"/>
      <c r="I63" s="108">
        <v>0</v>
      </c>
      <c r="J63" s="108" t="b">
        <v>0</v>
      </c>
      <c r="K63" s="108"/>
      <c r="L63" s="112"/>
      <c r="M63" s="134"/>
      <c r="N63" s="134"/>
      <c r="O63" s="108"/>
    </row>
    <row r="64" spans="2:15" ht="14.4" x14ac:dyDescent="0.25">
      <c r="B64" s="107" t="s">
        <v>279</v>
      </c>
      <c r="C64" s="107" t="s">
        <v>83</v>
      </c>
      <c r="D64" s="108" t="s">
        <v>385</v>
      </c>
      <c r="E64" s="108" t="s">
        <v>385</v>
      </c>
      <c r="F64" s="112"/>
      <c r="G64" s="108" t="s">
        <v>385</v>
      </c>
      <c r="H64" s="112"/>
      <c r="I64" s="108">
        <v>0</v>
      </c>
      <c r="J64" s="108" t="b">
        <v>0</v>
      </c>
      <c r="K64" s="108"/>
      <c r="L64" s="112"/>
      <c r="M64" s="134"/>
      <c r="N64" s="134"/>
      <c r="O64" s="108"/>
    </row>
    <row r="65" spans="2:15" ht="14.4" x14ac:dyDescent="0.25">
      <c r="B65" s="107" t="s">
        <v>279</v>
      </c>
      <c r="C65" s="107" t="s">
        <v>83</v>
      </c>
      <c r="D65" s="108" t="s">
        <v>386</v>
      </c>
      <c r="E65" s="108" t="s">
        <v>386</v>
      </c>
      <c r="F65" s="112"/>
      <c r="G65" s="108" t="s">
        <v>386</v>
      </c>
      <c r="H65" s="112"/>
      <c r="I65" s="108">
        <v>0</v>
      </c>
      <c r="J65" s="108" t="b">
        <v>0</v>
      </c>
      <c r="K65" s="108"/>
      <c r="L65" s="112"/>
      <c r="M65" s="134"/>
      <c r="N65" s="134"/>
      <c r="O65" s="108"/>
    </row>
    <row r="66" spans="2:15" ht="14.4" x14ac:dyDescent="0.25">
      <c r="B66" s="107" t="s">
        <v>279</v>
      </c>
      <c r="C66" s="107" t="s">
        <v>83</v>
      </c>
      <c r="D66" s="108" t="s">
        <v>387</v>
      </c>
      <c r="E66" s="108" t="s">
        <v>387</v>
      </c>
      <c r="F66" s="112"/>
      <c r="G66" s="108" t="s">
        <v>387</v>
      </c>
      <c r="H66" s="112"/>
      <c r="I66" s="108">
        <v>0</v>
      </c>
      <c r="J66" s="108" t="b">
        <v>0</v>
      </c>
      <c r="K66" s="108"/>
      <c r="L66" s="112"/>
      <c r="M66" s="134"/>
      <c r="N66" s="134"/>
      <c r="O66" s="108"/>
    </row>
    <row r="67" spans="2:15" ht="14.4" x14ac:dyDescent="0.25">
      <c r="B67" s="107" t="s">
        <v>279</v>
      </c>
      <c r="C67" s="107" t="s">
        <v>83</v>
      </c>
      <c r="D67" s="108" t="s">
        <v>388</v>
      </c>
      <c r="E67" s="108" t="s">
        <v>388</v>
      </c>
      <c r="F67" s="112"/>
      <c r="G67" s="108" t="s">
        <v>388</v>
      </c>
      <c r="H67" s="112"/>
      <c r="I67" s="108">
        <v>0</v>
      </c>
      <c r="J67" s="108" t="b">
        <v>0</v>
      </c>
      <c r="K67" s="108"/>
      <c r="L67" s="112"/>
      <c r="M67" s="134"/>
      <c r="N67" s="134"/>
      <c r="O67" s="108"/>
    </row>
    <row r="68" spans="2:15" ht="14.4" x14ac:dyDescent="0.25">
      <c r="B68" s="107" t="s">
        <v>279</v>
      </c>
      <c r="C68" s="107" t="s">
        <v>83</v>
      </c>
      <c r="D68" s="108" t="s">
        <v>389</v>
      </c>
      <c r="E68" s="108" t="s">
        <v>389</v>
      </c>
      <c r="F68" s="112"/>
      <c r="G68" s="108" t="s">
        <v>389</v>
      </c>
      <c r="H68" s="112"/>
      <c r="I68" s="108">
        <v>0</v>
      </c>
      <c r="J68" s="108" t="b">
        <v>0</v>
      </c>
      <c r="K68" s="108"/>
      <c r="L68" s="112"/>
      <c r="M68" s="134"/>
      <c r="N68" s="134"/>
      <c r="O68" s="108"/>
    </row>
    <row r="69" spans="2:15" ht="14.4" x14ac:dyDescent="0.25">
      <c r="B69" s="107" t="s">
        <v>279</v>
      </c>
      <c r="C69" s="107" t="s">
        <v>83</v>
      </c>
      <c r="D69" s="108" t="s">
        <v>390</v>
      </c>
      <c r="E69" s="108" t="s">
        <v>390</v>
      </c>
      <c r="F69" s="112"/>
      <c r="G69" s="108" t="s">
        <v>390</v>
      </c>
      <c r="H69" s="112"/>
      <c r="I69" s="108">
        <v>0</v>
      </c>
      <c r="J69" s="108" t="b">
        <v>0</v>
      </c>
      <c r="K69" s="108"/>
      <c r="L69" s="112"/>
      <c r="M69" s="134"/>
      <c r="N69" s="134"/>
      <c r="O69" s="108"/>
    </row>
    <row r="70" spans="2:15" ht="14.4" x14ac:dyDescent="0.25">
      <c r="B70" s="107" t="s">
        <v>279</v>
      </c>
      <c r="C70" s="107" t="s">
        <v>83</v>
      </c>
      <c r="D70" s="108" t="s">
        <v>391</v>
      </c>
      <c r="E70" s="108" t="s">
        <v>391</v>
      </c>
      <c r="F70" s="112"/>
      <c r="G70" s="108" t="s">
        <v>391</v>
      </c>
      <c r="H70" s="112"/>
      <c r="I70" s="108">
        <v>0</v>
      </c>
      <c r="J70" s="108" t="b">
        <v>0</v>
      </c>
      <c r="K70" s="108"/>
      <c r="L70" s="112"/>
      <c r="M70" s="134"/>
      <c r="N70" s="134"/>
      <c r="O70" s="108"/>
    </row>
    <row r="71" spans="2:15" ht="14.4" x14ac:dyDescent="0.25">
      <c r="B71" s="107" t="s">
        <v>279</v>
      </c>
      <c r="C71" s="107" t="s">
        <v>83</v>
      </c>
      <c r="D71" s="108" t="s">
        <v>392</v>
      </c>
      <c r="E71" s="108" t="s">
        <v>392</v>
      </c>
      <c r="F71" s="112"/>
      <c r="G71" s="108" t="s">
        <v>392</v>
      </c>
      <c r="H71" s="112"/>
      <c r="I71" s="108">
        <v>0</v>
      </c>
      <c r="J71" s="108" t="b">
        <v>0</v>
      </c>
      <c r="K71" s="108"/>
      <c r="L71" s="112"/>
      <c r="M71" s="134"/>
      <c r="N71" s="134"/>
      <c r="O71" s="108"/>
    </row>
    <row r="72" spans="2:15" ht="14.4" x14ac:dyDescent="0.25">
      <c r="B72" s="107" t="s">
        <v>279</v>
      </c>
      <c r="C72" s="107" t="s">
        <v>83</v>
      </c>
      <c r="D72" s="108" t="s">
        <v>393</v>
      </c>
      <c r="E72" s="108" t="s">
        <v>393</v>
      </c>
      <c r="F72" s="112"/>
      <c r="G72" s="108" t="s">
        <v>393</v>
      </c>
      <c r="H72" s="112"/>
      <c r="I72" s="108">
        <v>0</v>
      </c>
      <c r="J72" s="108" t="b">
        <v>0</v>
      </c>
      <c r="K72" s="108"/>
      <c r="L72" s="112"/>
      <c r="M72" s="134"/>
      <c r="N72" s="134"/>
      <c r="O72" s="108"/>
    </row>
    <row r="73" spans="2:15" ht="14.4" x14ac:dyDescent="0.25">
      <c r="B73" s="107" t="s">
        <v>279</v>
      </c>
      <c r="C73" s="107" t="s">
        <v>83</v>
      </c>
      <c r="D73" s="108" t="s">
        <v>394</v>
      </c>
      <c r="E73" s="108" t="s">
        <v>394</v>
      </c>
      <c r="F73" s="112"/>
      <c r="G73" s="108" t="s">
        <v>394</v>
      </c>
      <c r="H73" s="112"/>
      <c r="I73" s="108">
        <v>0</v>
      </c>
      <c r="J73" s="108" t="b">
        <v>0</v>
      </c>
      <c r="K73" s="108"/>
      <c r="L73" s="112"/>
      <c r="M73" s="134"/>
      <c r="N73" s="134"/>
      <c r="O73" s="108"/>
    </row>
    <row r="74" spans="2:15" ht="14.4" x14ac:dyDescent="0.25">
      <c r="B74" s="107" t="s">
        <v>279</v>
      </c>
      <c r="C74" s="107" t="s">
        <v>83</v>
      </c>
      <c r="D74" s="108" t="s">
        <v>395</v>
      </c>
      <c r="E74" s="108" t="s">
        <v>395</v>
      </c>
      <c r="F74" s="112"/>
      <c r="G74" s="108" t="s">
        <v>395</v>
      </c>
      <c r="H74" s="112"/>
      <c r="I74" s="108">
        <v>0</v>
      </c>
      <c r="J74" s="108" t="b">
        <v>0</v>
      </c>
      <c r="K74" s="108"/>
      <c r="L74" s="112"/>
      <c r="M74" s="134"/>
      <c r="N74" s="134"/>
      <c r="O74" s="108"/>
    </row>
    <row r="75" spans="2:15" ht="14.4" x14ac:dyDescent="0.25">
      <c r="B75" s="107" t="s">
        <v>279</v>
      </c>
      <c r="C75" s="107" t="s">
        <v>83</v>
      </c>
      <c r="D75" s="108" t="s">
        <v>396</v>
      </c>
      <c r="E75" s="108" t="s">
        <v>396</v>
      </c>
      <c r="F75" s="112"/>
      <c r="G75" s="108" t="s">
        <v>396</v>
      </c>
      <c r="H75" s="112"/>
      <c r="I75" s="108">
        <v>0</v>
      </c>
      <c r="J75" s="108" t="b">
        <v>0</v>
      </c>
      <c r="K75" s="108"/>
      <c r="L75" s="112"/>
      <c r="M75" s="134"/>
      <c r="N75" s="134"/>
      <c r="O75" s="108"/>
    </row>
    <row r="76" spans="2:15" ht="14.4" x14ac:dyDescent="0.25">
      <c r="B76" s="107" t="s">
        <v>279</v>
      </c>
      <c r="C76" s="107" t="s">
        <v>83</v>
      </c>
      <c r="D76" s="108" t="s">
        <v>397</v>
      </c>
      <c r="E76" s="108" t="s">
        <v>397</v>
      </c>
      <c r="F76" s="112"/>
      <c r="G76" s="108" t="s">
        <v>397</v>
      </c>
      <c r="H76" s="112"/>
      <c r="I76" s="108">
        <v>0</v>
      </c>
      <c r="J76" s="108" t="b">
        <v>0</v>
      </c>
      <c r="K76" s="108"/>
      <c r="L76" s="112"/>
      <c r="M76" s="134"/>
      <c r="N76" s="134"/>
      <c r="O76" s="108"/>
    </row>
    <row r="77" spans="2:15" ht="14.4" x14ac:dyDescent="0.25">
      <c r="B77" s="107" t="s">
        <v>279</v>
      </c>
      <c r="C77" s="107" t="s">
        <v>83</v>
      </c>
      <c r="D77" s="108" t="s">
        <v>398</v>
      </c>
      <c r="E77" s="108" t="s">
        <v>398</v>
      </c>
      <c r="F77" s="112"/>
      <c r="G77" s="108" t="s">
        <v>398</v>
      </c>
      <c r="H77" s="112"/>
      <c r="I77" s="108">
        <v>0</v>
      </c>
      <c r="J77" s="108" t="b">
        <v>0</v>
      </c>
      <c r="K77" s="108"/>
      <c r="L77" s="112"/>
      <c r="M77" s="134"/>
      <c r="N77" s="134"/>
      <c r="O77" s="108"/>
    </row>
    <row r="78" spans="2:15" ht="14.4" x14ac:dyDescent="0.25">
      <c r="B78" s="107" t="s">
        <v>279</v>
      </c>
      <c r="C78" s="107" t="s">
        <v>83</v>
      </c>
      <c r="D78" s="108" t="s">
        <v>399</v>
      </c>
      <c r="E78" s="108" t="s">
        <v>399</v>
      </c>
      <c r="F78" s="112"/>
      <c r="G78" s="108" t="s">
        <v>399</v>
      </c>
      <c r="H78" s="112"/>
      <c r="I78" s="108">
        <v>0</v>
      </c>
      <c r="J78" s="108" t="b">
        <v>0</v>
      </c>
      <c r="K78" s="108"/>
      <c r="L78" s="112"/>
      <c r="M78" s="134"/>
      <c r="N78" s="134"/>
      <c r="O78" s="108"/>
    </row>
    <row r="79" spans="2:15" ht="14.4" x14ac:dyDescent="0.25">
      <c r="B79" s="107" t="s">
        <v>279</v>
      </c>
      <c r="C79" s="107" t="s">
        <v>83</v>
      </c>
      <c r="D79" s="108" t="s">
        <v>400</v>
      </c>
      <c r="E79" s="108" t="s">
        <v>400</v>
      </c>
      <c r="F79" s="112"/>
      <c r="G79" s="108" t="s">
        <v>400</v>
      </c>
      <c r="H79" s="112"/>
      <c r="I79" s="108">
        <v>0</v>
      </c>
      <c r="J79" s="108" t="b">
        <v>0</v>
      </c>
      <c r="K79" s="108"/>
      <c r="L79" s="112"/>
      <c r="M79" s="134"/>
      <c r="N79" s="134"/>
      <c r="O79" s="108"/>
    </row>
    <row r="80" spans="2:15" ht="14.4" x14ac:dyDescent="0.25">
      <c r="B80" s="107" t="s">
        <v>279</v>
      </c>
      <c r="C80" s="107" t="s">
        <v>83</v>
      </c>
      <c r="D80" s="108" t="s">
        <v>401</v>
      </c>
      <c r="E80" s="108" t="s">
        <v>401</v>
      </c>
      <c r="F80" s="112"/>
      <c r="G80" s="108" t="s">
        <v>401</v>
      </c>
      <c r="H80" s="112"/>
      <c r="I80" s="108">
        <v>0</v>
      </c>
      <c r="J80" s="108" t="b">
        <v>0</v>
      </c>
      <c r="K80" s="108"/>
      <c r="L80" s="112"/>
      <c r="M80" s="134"/>
      <c r="N80" s="134"/>
      <c r="O80" s="108"/>
    </row>
    <row r="81" spans="2:15" ht="14.4" x14ac:dyDescent="0.25">
      <c r="B81" s="107" t="s">
        <v>279</v>
      </c>
      <c r="C81" s="107" t="s">
        <v>83</v>
      </c>
      <c r="D81" s="108" t="s">
        <v>402</v>
      </c>
      <c r="E81" s="108" t="s">
        <v>402</v>
      </c>
      <c r="F81" s="112"/>
      <c r="G81" s="108" t="s">
        <v>402</v>
      </c>
      <c r="H81" s="112"/>
      <c r="I81" s="108">
        <v>0</v>
      </c>
      <c r="J81" s="108" t="b">
        <v>0</v>
      </c>
      <c r="K81" s="108"/>
      <c r="L81" s="112"/>
      <c r="M81" s="134"/>
      <c r="N81" s="134"/>
      <c r="O81" s="108"/>
    </row>
    <row r="82" spans="2:15" ht="14.4" x14ac:dyDescent="0.25">
      <c r="B82" s="107" t="s">
        <v>279</v>
      </c>
      <c r="C82" s="107" t="s">
        <v>83</v>
      </c>
      <c r="D82" s="108" t="s">
        <v>403</v>
      </c>
      <c r="E82" s="108" t="s">
        <v>403</v>
      </c>
      <c r="F82" s="112"/>
      <c r="G82" s="108" t="s">
        <v>403</v>
      </c>
      <c r="H82" s="112"/>
      <c r="I82" s="108">
        <v>0</v>
      </c>
      <c r="J82" s="108" t="b">
        <v>0</v>
      </c>
      <c r="K82" s="108"/>
      <c r="L82" s="112"/>
      <c r="M82" s="134"/>
      <c r="N82" s="134"/>
      <c r="O82" s="108"/>
    </row>
    <row r="83" spans="2:15" ht="14.4" x14ac:dyDescent="0.25">
      <c r="B83" s="107" t="s">
        <v>279</v>
      </c>
      <c r="C83" s="107" t="s">
        <v>83</v>
      </c>
      <c r="D83" s="108" t="s">
        <v>404</v>
      </c>
      <c r="E83" s="108" t="s">
        <v>404</v>
      </c>
      <c r="F83" s="112"/>
      <c r="G83" s="108" t="s">
        <v>404</v>
      </c>
      <c r="H83" s="112"/>
      <c r="I83" s="108">
        <v>0</v>
      </c>
      <c r="J83" s="108" t="b">
        <v>0</v>
      </c>
      <c r="K83" s="108"/>
      <c r="L83" s="112"/>
      <c r="M83" s="134"/>
      <c r="N83" s="134"/>
      <c r="O83" s="108"/>
    </row>
    <row r="84" spans="2:15" ht="14.4" x14ac:dyDescent="0.25">
      <c r="B84" s="107" t="s">
        <v>279</v>
      </c>
      <c r="C84" s="107" t="s">
        <v>83</v>
      </c>
      <c r="D84" s="108" t="s">
        <v>405</v>
      </c>
      <c r="E84" s="108" t="s">
        <v>405</v>
      </c>
      <c r="F84" s="112"/>
      <c r="G84" s="108" t="s">
        <v>405</v>
      </c>
      <c r="H84" s="112"/>
      <c r="I84" s="108">
        <v>0</v>
      </c>
      <c r="J84" s="108" t="b">
        <v>0</v>
      </c>
      <c r="K84" s="108"/>
      <c r="L84" s="112"/>
      <c r="M84" s="134"/>
      <c r="N84" s="134"/>
      <c r="O84" s="108"/>
    </row>
    <row r="85" spans="2:15" ht="14.4" x14ac:dyDescent="0.25">
      <c r="B85" s="107" t="s">
        <v>279</v>
      </c>
      <c r="C85" s="107" t="s">
        <v>83</v>
      </c>
      <c r="D85" s="108" t="s">
        <v>406</v>
      </c>
      <c r="E85" s="108" t="s">
        <v>406</v>
      </c>
      <c r="F85" s="112"/>
      <c r="G85" s="108" t="s">
        <v>406</v>
      </c>
      <c r="H85" s="112"/>
      <c r="I85" s="108">
        <v>0</v>
      </c>
      <c r="J85" s="108" t="b">
        <v>0</v>
      </c>
      <c r="K85" s="108"/>
      <c r="L85" s="112"/>
      <c r="M85" s="134"/>
      <c r="N85" s="134"/>
      <c r="O85" s="108"/>
    </row>
    <row r="86" spans="2:15" ht="14.4" x14ac:dyDescent="0.25">
      <c r="B86" s="107" t="s">
        <v>279</v>
      </c>
      <c r="C86" s="107" t="s">
        <v>83</v>
      </c>
      <c r="D86" s="108" t="s">
        <v>407</v>
      </c>
      <c r="E86" s="108" t="s">
        <v>407</v>
      </c>
      <c r="F86" s="112"/>
      <c r="G86" s="108" t="s">
        <v>407</v>
      </c>
      <c r="H86" s="112"/>
      <c r="I86" s="108">
        <v>0</v>
      </c>
      <c r="J86" s="108" t="b">
        <v>0</v>
      </c>
      <c r="K86" s="108"/>
      <c r="L86" s="112"/>
      <c r="M86" s="134"/>
      <c r="N86" s="134"/>
      <c r="O86" s="108"/>
    </row>
    <row r="87" spans="2:15" ht="14.4" x14ac:dyDescent="0.25">
      <c r="B87" s="107" t="s">
        <v>279</v>
      </c>
      <c r="C87" s="107" t="s">
        <v>83</v>
      </c>
      <c r="D87" s="108" t="s">
        <v>408</v>
      </c>
      <c r="E87" s="108" t="s">
        <v>408</v>
      </c>
      <c r="F87" s="112"/>
      <c r="G87" s="108" t="s">
        <v>408</v>
      </c>
      <c r="H87" s="112"/>
      <c r="I87" s="108">
        <v>0</v>
      </c>
      <c r="J87" s="108" t="b">
        <v>0</v>
      </c>
      <c r="K87" s="108"/>
      <c r="L87" s="112"/>
      <c r="M87" s="134"/>
      <c r="N87" s="134"/>
      <c r="O87" s="108"/>
    </row>
    <row r="88" spans="2:15" ht="14.4" x14ac:dyDescent="0.25">
      <c r="B88" s="107" t="s">
        <v>279</v>
      </c>
      <c r="C88" s="107" t="s">
        <v>83</v>
      </c>
      <c r="D88" s="108" t="s">
        <v>409</v>
      </c>
      <c r="E88" s="108" t="s">
        <v>409</v>
      </c>
      <c r="F88" s="112"/>
      <c r="G88" s="108" t="s">
        <v>409</v>
      </c>
      <c r="H88" s="112"/>
      <c r="I88" s="108">
        <v>0</v>
      </c>
      <c r="J88" s="108" t="b">
        <v>0</v>
      </c>
      <c r="K88" s="108"/>
      <c r="L88" s="112"/>
      <c r="M88" s="134"/>
      <c r="N88" s="134"/>
      <c r="O88" s="108"/>
    </row>
    <row r="89" spans="2:15" ht="14.4" x14ac:dyDescent="0.25">
      <c r="B89" s="107" t="s">
        <v>279</v>
      </c>
      <c r="C89" s="107" t="s">
        <v>83</v>
      </c>
      <c r="D89" s="108" t="s">
        <v>410</v>
      </c>
      <c r="E89" s="108" t="s">
        <v>410</v>
      </c>
      <c r="F89" s="112"/>
      <c r="G89" s="108" t="s">
        <v>410</v>
      </c>
      <c r="H89" s="112"/>
      <c r="I89" s="108">
        <v>0</v>
      </c>
      <c r="J89" s="108" t="b">
        <v>0</v>
      </c>
      <c r="K89" s="108"/>
      <c r="L89" s="112"/>
      <c r="M89" s="134"/>
      <c r="N89" s="134"/>
      <c r="O89" s="108"/>
    </row>
    <row r="90" spans="2:15" ht="14.4" x14ac:dyDescent="0.25">
      <c r="B90" s="107" t="s">
        <v>279</v>
      </c>
      <c r="C90" s="107" t="s">
        <v>83</v>
      </c>
      <c r="D90" s="108" t="s">
        <v>411</v>
      </c>
      <c r="E90" s="108" t="s">
        <v>411</v>
      </c>
      <c r="F90" s="112"/>
      <c r="G90" s="108" t="s">
        <v>411</v>
      </c>
      <c r="H90" s="112"/>
      <c r="I90" s="108">
        <v>0</v>
      </c>
      <c r="J90" s="108" t="b">
        <v>0</v>
      </c>
      <c r="K90" s="108"/>
      <c r="L90" s="112"/>
      <c r="M90" s="134"/>
      <c r="N90" s="134"/>
      <c r="O90" s="108"/>
    </row>
    <row r="91" spans="2:15" ht="14.4" x14ac:dyDescent="0.25">
      <c r="B91" s="107" t="s">
        <v>279</v>
      </c>
      <c r="C91" s="107" t="s">
        <v>83</v>
      </c>
      <c r="D91" s="108" t="s">
        <v>412</v>
      </c>
      <c r="E91" s="108" t="s">
        <v>412</v>
      </c>
      <c r="F91" s="112"/>
      <c r="G91" s="108" t="s">
        <v>412</v>
      </c>
      <c r="H91" s="112"/>
      <c r="I91" s="108">
        <v>0</v>
      </c>
      <c r="J91" s="108" t="b">
        <v>0</v>
      </c>
      <c r="K91" s="108"/>
      <c r="L91" s="112"/>
      <c r="M91" s="134"/>
      <c r="N91" s="134"/>
      <c r="O91" s="108"/>
    </row>
    <row r="92" spans="2:15" ht="14.4" x14ac:dyDescent="0.25">
      <c r="B92" s="107" t="s">
        <v>279</v>
      </c>
      <c r="C92" s="107" t="s">
        <v>83</v>
      </c>
      <c r="D92" s="108" t="s">
        <v>413</v>
      </c>
      <c r="E92" s="108" t="s">
        <v>413</v>
      </c>
      <c r="F92" s="112"/>
      <c r="G92" s="108" t="s">
        <v>413</v>
      </c>
      <c r="H92" s="112"/>
      <c r="I92" s="108">
        <v>0</v>
      </c>
      <c r="J92" s="108" t="b">
        <v>0</v>
      </c>
      <c r="K92" s="108"/>
      <c r="L92" s="112"/>
      <c r="M92" s="134"/>
      <c r="N92" s="134"/>
      <c r="O92" s="108"/>
    </row>
    <row r="93" spans="2:15" ht="14.4" x14ac:dyDescent="0.25">
      <c r="B93" s="107" t="s">
        <v>279</v>
      </c>
      <c r="C93" s="107" t="s">
        <v>83</v>
      </c>
      <c r="D93" s="108" t="s">
        <v>414</v>
      </c>
      <c r="E93" s="108" t="s">
        <v>414</v>
      </c>
      <c r="F93" s="112"/>
      <c r="G93" s="108" t="s">
        <v>414</v>
      </c>
      <c r="H93" s="112"/>
      <c r="I93" s="108">
        <v>0</v>
      </c>
      <c r="J93" s="108" t="b">
        <v>0</v>
      </c>
      <c r="K93" s="108"/>
      <c r="L93" s="112"/>
      <c r="M93" s="134"/>
      <c r="N93" s="134"/>
      <c r="O93" s="108"/>
    </row>
    <row r="94" spans="2:15" ht="14.4" x14ac:dyDescent="0.25">
      <c r="B94" s="107" t="s">
        <v>279</v>
      </c>
      <c r="C94" s="107" t="s">
        <v>83</v>
      </c>
      <c r="D94" s="108" t="s">
        <v>415</v>
      </c>
      <c r="E94" s="108" t="s">
        <v>415</v>
      </c>
      <c r="F94" s="112"/>
      <c r="G94" s="108" t="s">
        <v>415</v>
      </c>
      <c r="H94" s="112"/>
      <c r="I94" s="108">
        <v>0</v>
      </c>
      <c r="J94" s="108" t="b">
        <v>0</v>
      </c>
      <c r="K94" s="108"/>
      <c r="L94" s="112"/>
      <c r="M94" s="134"/>
      <c r="N94" s="134"/>
      <c r="O94" s="108"/>
    </row>
    <row r="95" spans="2:15" ht="14.4" x14ac:dyDescent="0.25">
      <c r="B95" s="107" t="s">
        <v>279</v>
      </c>
      <c r="C95" s="107" t="s">
        <v>83</v>
      </c>
      <c r="D95" s="108" t="s">
        <v>416</v>
      </c>
      <c r="E95" s="108" t="s">
        <v>416</v>
      </c>
      <c r="F95" s="112"/>
      <c r="G95" s="108" t="s">
        <v>416</v>
      </c>
      <c r="H95" s="112"/>
      <c r="I95" s="108">
        <v>0</v>
      </c>
      <c r="J95" s="108" t="b">
        <v>0</v>
      </c>
      <c r="K95" s="108"/>
      <c r="L95" s="112"/>
      <c r="M95" s="134"/>
      <c r="N95" s="134"/>
      <c r="O95" s="108"/>
    </row>
    <row r="96" spans="2:15" ht="14.4" x14ac:dyDescent="0.25">
      <c r="B96" s="107" t="s">
        <v>279</v>
      </c>
      <c r="C96" s="107" t="s">
        <v>83</v>
      </c>
      <c r="D96" s="108" t="s">
        <v>417</v>
      </c>
      <c r="E96" s="108" t="s">
        <v>417</v>
      </c>
      <c r="F96" s="112"/>
      <c r="G96" s="108" t="s">
        <v>417</v>
      </c>
      <c r="H96" s="112"/>
      <c r="I96" s="108">
        <v>0</v>
      </c>
      <c r="J96" s="108" t="b">
        <v>0</v>
      </c>
      <c r="K96" s="108"/>
      <c r="L96" s="112"/>
      <c r="M96" s="134"/>
      <c r="N96" s="134"/>
      <c r="O96" s="108"/>
    </row>
    <row r="97" spans="2:15" ht="14.4" x14ac:dyDescent="0.25">
      <c r="B97" s="107" t="s">
        <v>279</v>
      </c>
      <c r="C97" s="107" t="s">
        <v>83</v>
      </c>
      <c r="D97" s="108" t="s">
        <v>418</v>
      </c>
      <c r="E97" s="108" t="s">
        <v>418</v>
      </c>
      <c r="F97" s="112"/>
      <c r="G97" s="108" t="s">
        <v>418</v>
      </c>
      <c r="H97" s="112"/>
      <c r="I97" s="108">
        <v>0</v>
      </c>
      <c r="J97" s="108" t="b">
        <v>0</v>
      </c>
      <c r="K97" s="108"/>
      <c r="L97" s="112"/>
      <c r="M97" s="134"/>
      <c r="N97" s="134"/>
      <c r="O97" s="108"/>
    </row>
    <row r="98" spans="2:15" ht="14.4" x14ac:dyDescent="0.25">
      <c r="B98" s="107" t="s">
        <v>279</v>
      </c>
      <c r="C98" s="107" t="s">
        <v>83</v>
      </c>
      <c r="D98" s="108" t="s">
        <v>419</v>
      </c>
      <c r="E98" s="108" t="s">
        <v>419</v>
      </c>
      <c r="F98" s="112"/>
      <c r="G98" s="108" t="s">
        <v>419</v>
      </c>
      <c r="H98" s="112"/>
      <c r="I98" s="108">
        <v>0</v>
      </c>
      <c r="J98" s="108" t="b">
        <v>0</v>
      </c>
      <c r="K98" s="108"/>
      <c r="L98" s="112"/>
      <c r="M98" s="134"/>
      <c r="N98" s="134"/>
      <c r="O98" s="108"/>
    </row>
    <row r="99" spans="2:15" ht="14.4" x14ac:dyDescent="0.25">
      <c r="B99" s="107" t="s">
        <v>279</v>
      </c>
      <c r="C99" s="107" t="s">
        <v>83</v>
      </c>
      <c r="D99" s="108" t="s">
        <v>420</v>
      </c>
      <c r="E99" s="108" t="s">
        <v>420</v>
      </c>
      <c r="F99" s="112"/>
      <c r="G99" s="108" t="s">
        <v>420</v>
      </c>
      <c r="H99" s="112"/>
      <c r="I99" s="108">
        <v>0</v>
      </c>
      <c r="J99" s="108" t="b">
        <v>0</v>
      </c>
      <c r="K99" s="108"/>
      <c r="L99" s="112"/>
      <c r="M99" s="134"/>
      <c r="N99" s="134"/>
      <c r="O99" s="108"/>
    </row>
    <row r="100" spans="2:15" ht="14.4" x14ac:dyDescent="0.25">
      <c r="B100" s="107" t="s">
        <v>279</v>
      </c>
      <c r="C100" s="107" t="s">
        <v>83</v>
      </c>
      <c r="D100" s="108" t="s">
        <v>421</v>
      </c>
      <c r="E100" s="108" t="s">
        <v>421</v>
      </c>
      <c r="F100" s="112"/>
      <c r="G100" s="108" t="s">
        <v>421</v>
      </c>
      <c r="H100" s="112"/>
      <c r="I100" s="108">
        <v>0</v>
      </c>
      <c r="J100" s="108" t="b">
        <v>0</v>
      </c>
      <c r="K100" s="108"/>
      <c r="L100" s="112"/>
      <c r="M100" s="134"/>
      <c r="N100" s="134"/>
      <c r="O100" s="108"/>
    </row>
    <row r="101" spans="2:15" ht="14.4" x14ac:dyDescent="0.25">
      <c r="B101" s="107" t="s">
        <v>279</v>
      </c>
      <c r="C101" s="107" t="s">
        <v>83</v>
      </c>
      <c r="D101" s="108" t="s">
        <v>422</v>
      </c>
      <c r="E101" s="108" t="s">
        <v>422</v>
      </c>
      <c r="F101" s="112"/>
      <c r="G101" s="108" t="s">
        <v>422</v>
      </c>
      <c r="H101" s="112"/>
      <c r="I101" s="108">
        <v>0</v>
      </c>
      <c r="J101" s="108" t="b">
        <v>0</v>
      </c>
      <c r="K101" s="108"/>
      <c r="L101" s="112"/>
      <c r="M101" s="134"/>
      <c r="N101" s="134"/>
      <c r="O101" s="108"/>
    </row>
    <row r="102" spans="2:15" ht="14.4" x14ac:dyDescent="0.25">
      <c r="B102" s="107" t="s">
        <v>279</v>
      </c>
      <c r="C102" s="107" t="s">
        <v>83</v>
      </c>
      <c r="D102" s="108" t="s">
        <v>423</v>
      </c>
      <c r="E102" s="108" t="s">
        <v>423</v>
      </c>
      <c r="F102" s="112"/>
      <c r="G102" s="108" t="s">
        <v>423</v>
      </c>
      <c r="H102" s="112"/>
      <c r="I102" s="108">
        <v>0</v>
      </c>
      <c r="J102" s="108" t="b">
        <v>0</v>
      </c>
      <c r="K102" s="108"/>
      <c r="L102" s="112"/>
      <c r="M102" s="134"/>
      <c r="N102" s="134"/>
      <c r="O102" s="108"/>
    </row>
    <row r="103" spans="2:15" ht="14.4" x14ac:dyDescent="0.25">
      <c r="B103" s="107" t="s">
        <v>279</v>
      </c>
      <c r="C103" s="107" t="s">
        <v>83</v>
      </c>
      <c r="D103" s="108" t="s">
        <v>424</v>
      </c>
      <c r="E103" s="108" t="s">
        <v>424</v>
      </c>
      <c r="F103" s="112"/>
      <c r="G103" s="108" t="s">
        <v>424</v>
      </c>
      <c r="H103" s="112"/>
      <c r="I103" s="108">
        <v>0</v>
      </c>
      <c r="J103" s="108" t="b">
        <v>0</v>
      </c>
      <c r="K103" s="108"/>
      <c r="L103" s="112"/>
      <c r="M103" s="134"/>
      <c r="N103" s="134"/>
      <c r="O103" s="108"/>
    </row>
    <row r="104" spans="2:15" ht="14.4" x14ac:dyDescent="0.25">
      <c r="B104" s="107" t="s">
        <v>279</v>
      </c>
      <c r="C104" s="107" t="s">
        <v>83</v>
      </c>
      <c r="D104" s="108" t="s">
        <v>425</v>
      </c>
      <c r="E104" s="108" t="s">
        <v>425</v>
      </c>
      <c r="F104" s="112"/>
      <c r="G104" s="108" t="s">
        <v>425</v>
      </c>
      <c r="H104" s="112"/>
      <c r="I104" s="108">
        <v>0</v>
      </c>
      <c r="J104" s="108" t="b">
        <v>0</v>
      </c>
      <c r="K104" s="108"/>
      <c r="L104" s="112"/>
      <c r="M104" s="134"/>
      <c r="N104" s="134"/>
      <c r="O104" s="108"/>
    </row>
    <row r="105" spans="2:15" ht="14.4" x14ac:dyDescent="0.25">
      <c r="B105" s="107" t="s">
        <v>279</v>
      </c>
      <c r="C105" s="107" t="s">
        <v>83</v>
      </c>
      <c r="D105" s="108" t="s">
        <v>426</v>
      </c>
      <c r="E105" s="108" t="s">
        <v>426</v>
      </c>
      <c r="F105" s="112"/>
      <c r="G105" s="108" t="s">
        <v>426</v>
      </c>
      <c r="H105" s="112"/>
      <c r="I105" s="108">
        <v>0</v>
      </c>
      <c r="J105" s="108" t="b">
        <v>0</v>
      </c>
      <c r="K105" s="108"/>
      <c r="L105" s="112"/>
      <c r="M105" s="134"/>
      <c r="N105" s="134"/>
      <c r="O105" s="108"/>
    </row>
    <row r="106" spans="2:15" ht="14.4" x14ac:dyDescent="0.25">
      <c r="B106" s="107" t="s">
        <v>279</v>
      </c>
      <c r="C106" s="107" t="s">
        <v>83</v>
      </c>
      <c r="D106" s="108" t="s">
        <v>427</v>
      </c>
      <c r="E106" s="108" t="s">
        <v>427</v>
      </c>
      <c r="F106" s="112"/>
      <c r="G106" s="108" t="s">
        <v>427</v>
      </c>
      <c r="H106" s="112"/>
      <c r="I106" s="108">
        <v>0</v>
      </c>
      <c r="J106" s="108" t="b">
        <v>0</v>
      </c>
      <c r="K106" s="108"/>
      <c r="L106" s="112"/>
      <c r="M106" s="134"/>
      <c r="N106" s="134"/>
      <c r="O106" s="108"/>
    </row>
    <row r="107" spans="2:15" ht="14.4" x14ac:dyDescent="0.25">
      <c r="B107" s="107" t="s">
        <v>279</v>
      </c>
      <c r="C107" s="107" t="s">
        <v>83</v>
      </c>
      <c r="D107" s="108" t="s">
        <v>428</v>
      </c>
      <c r="E107" s="108" t="s">
        <v>428</v>
      </c>
      <c r="F107" s="112"/>
      <c r="G107" s="108" t="s">
        <v>428</v>
      </c>
      <c r="H107" s="112"/>
      <c r="I107" s="108">
        <v>0</v>
      </c>
      <c r="J107" s="108" t="b">
        <v>0</v>
      </c>
      <c r="K107" s="108"/>
      <c r="L107" s="112"/>
      <c r="M107" s="134"/>
      <c r="N107" s="134"/>
      <c r="O107" s="108"/>
    </row>
    <row r="108" spans="2:15" ht="14.4" x14ac:dyDescent="0.25">
      <c r="B108" s="107" t="s">
        <v>279</v>
      </c>
      <c r="C108" s="107" t="s">
        <v>83</v>
      </c>
      <c r="D108" s="108" t="s">
        <v>429</v>
      </c>
      <c r="E108" s="108" t="s">
        <v>429</v>
      </c>
      <c r="F108" s="112"/>
      <c r="G108" s="108" t="s">
        <v>429</v>
      </c>
      <c r="H108" s="112"/>
      <c r="I108" s="108">
        <v>0</v>
      </c>
      <c r="J108" s="108" t="b">
        <v>0</v>
      </c>
      <c r="K108" s="108"/>
      <c r="L108" s="112"/>
      <c r="M108" s="134"/>
      <c r="N108" s="134"/>
      <c r="O108" s="108"/>
    </row>
    <row r="109" spans="2:15" ht="14.4" x14ac:dyDescent="0.25">
      <c r="B109" s="107" t="s">
        <v>279</v>
      </c>
      <c r="C109" s="107" t="s">
        <v>83</v>
      </c>
      <c r="D109" s="108" t="s">
        <v>430</v>
      </c>
      <c r="E109" s="108" t="s">
        <v>430</v>
      </c>
      <c r="F109" s="112"/>
      <c r="G109" s="108" t="s">
        <v>430</v>
      </c>
      <c r="H109" s="112"/>
      <c r="I109" s="108">
        <v>0</v>
      </c>
      <c r="J109" s="108" t="b">
        <v>0</v>
      </c>
      <c r="K109" s="108"/>
      <c r="L109" s="112"/>
      <c r="M109" s="134"/>
      <c r="N109" s="134"/>
      <c r="O109" s="108"/>
    </row>
    <row r="110" spans="2:15" ht="14.4" x14ac:dyDescent="0.25">
      <c r="B110" s="107" t="s">
        <v>279</v>
      </c>
      <c r="C110" s="107" t="s">
        <v>83</v>
      </c>
      <c r="D110" s="108" t="s">
        <v>431</v>
      </c>
      <c r="E110" s="108" t="s">
        <v>431</v>
      </c>
      <c r="F110" s="112"/>
      <c r="G110" s="108" t="s">
        <v>431</v>
      </c>
      <c r="H110" s="112"/>
      <c r="I110" s="108">
        <v>0</v>
      </c>
      <c r="J110" s="108" t="b">
        <v>0</v>
      </c>
      <c r="K110" s="108"/>
      <c r="L110" s="112"/>
      <c r="M110" s="134"/>
      <c r="N110" s="134"/>
      <c r="O110" s="108"/>
    </row>
    <row r="111" spans="2:15" ht="14.4" x14ac:dyDescent="0.25">
      <c r="B111" s="107" t="s">
        <v>279</v>
      </c>
      <c r="C111" s="107" t="s">
        <v>83</v>
      </c>
      <c r="D111" s="108" t="s">
        <v>432</v>
      </c>
      <c r="E111" s="108" t="s">
        <v>432</v>
      </c>
      <c r="F111" s="112"/>
      <c r="G111" s="108" t="s">
        <v>432</v>
      </c>
      <c r="H111" s="112"/>
      <c r="I111" s="108">
        <v>0</v>
      </c>
      <c r="J111" s="108" t="b">
        <v>0</v>
      </c>
      <c r="K111" s="108"/>
      <c r="L111" s="112"/>
      <c r="M111" s="134"/>
      <c r="N111" s="134"/>
      <c r="O111" s="108"/>
    </row>
    <row r="112" spans="2:15" ht="14.4" x14ac:dyDescent="0.25">
      <c r="B112" s="107" t="s">
        <v>279</v>
      </c>
      <c r="C112" s="107" t="s">
        <v>83</v>
      </c>
      <c r="D112" s="108" t="s">
        <v>433</v>
      </c>
      <c r="E112" s="108" t="s">
        <v>433</v>
      </c>
      <c r="F112" s="112"/>
      <c r="G112" s="108" t="s">
        <v>433</v>
      </c>
      <c r="H112" s="112"/>
      <c r="I112" s="108">
        <v>0</v>
      </c>
      <c r="J112" s="108" t="b">
        <v>0</v>
      </c>
      <c r="K112" s="108"/>
      <c r="L112" s="112"/>
      <c r="M112" s="134"/>
      <c r="N112" s="134"/>
      <c r="O112" s="108"/>
    </row>
    <row r="113" spans="2:15" ht="14.4" x14ac:dyDescent="0.25">
      <c r="B113" s="107" t="s">
        <v>279</v>
      </c>
      <c r="C113" s="107" t="s">
        <v>83</v>
      </c>
      <c r="D113" s="108" t="s">
        <v>434</v>
      </c>
      <c r="E113" s="108" t="s">
        <v>434</v>
      </c>
      <c r="F113" s="112"/>
      <c r="G113" s="108" t="s">
        <v>434</v>
      </c>
      <c r="H113" s="112"/>
      <c r="I113" s="108">
        <v>0</v>
      </c>
      <c r="J113" s="108" t="b">
        <v>0</v>
      </c>
      <c r="K113" s="108"/>
      <c r="L113" s="112"/>
      <c r="M113" s="134"/>
      <c r="N113" s="134"/>
      <c r="O113" s="108"/>
    </row>
    <row r="114" spans="2:15" ht="14.4" x14ac:dyDescent="0.25">
      <c r="B114" s="107" t="s">
        <v>279</v>
      </c>
      <c r="C114" s="107" t="s">
        <v>83</v>
      </c>
      <c r="D114" s="108" t="s">
        <v>435</v>
      </c>
      <c r="E114" s="108" t="s">
        <v>435</v>
      </c>
      <c r="F114" s="112"/>
      <c r="G114" s="108" t="s">
        <v>435</v>
      </c>
      <c r="H114" s="112"/>
      <c r="I114" s="108">
        <v>0</v>
      </c>
      <c r="J114" s="108" t="b">
        <v>0</v>
      </c>
      <c r="K114" s="108"/>
      <c r="L114" s="112"/>
      <c r="M114" s="134"/>
      <c r="N114" s="134"/>
      <c r="O114" s="108"/>
    </row>
    <row r="115" spans="2:15" ht="14.4" x14ac:dyDescent="0.25">
      <c r="B115" s="107" t="s">
        <v>279</v>
      </c>
      <c r="C115" s="107" t="s">
        <v>83</v>
      </c>
      <c r="D115" s="108" t="s">
        <v>436</v>
      </c>
      <c r="E115" s="108" t="s">
        <v>436</v>
      </c>
      <c r="F115" s="112"/>
      <c r="G115" s="108" t="s">
        <v>436</v>
      </c>
      <c r="H115" s="112"/>
      <c r="I115" s="108">
        <v>0</v>
      </c>
      <c r="J115" s="108" t="b">
        <v>0</v>
      </c>
      <c r="K115" s="108"/>
      <c r="L115" s="112"/>
      <c r="M115" s="134"/>
      <c r="N115" s="134"/>
      <c r="O115" s="108"/>
    </row>
    <row r="116" spans="2:15" ht="14.4" x14ac:dyDescent="0.25">
      <c r="B116" s="107" t="s">
        <v>279</v>
      </c>
      <c r="C116" s="107" t="s">
        <v>83</v>
      </c>
      <c r="D116" s="108" t="s">
        <v>437</v>
      </c>
      <c r="E116" s="108" t="s">
        <v>437</v>
      </c>
      <c r="F116" s="112"/>
      <c r="G116" s="108" t="s">
        <v>437</v>
      </c>
      <c r="H116" s="112"/>
      <c r="I116" s="108">
        <v>0</v>
      </c>
      <c r="J116" s="108" t="b">
        <v>0</v>
      </c>
      <c r="K116" s="108"/>
      <c r="L116" s="112"/>
      <c r="M116" s="134"/>
      <c r="N116" s="134"/>
      <c r="O116" s="108"/>
    </row>
    <row r="117" spans="2:15" ht="14.4" x14ac:dyDescent="0.25">
      <c r="B117" s="107" t="s">
        <v>279</v>
      </c>
      <c r="C117" s="107" t="s">
        <v>83</v>
      </c>
      <c r="D117" s="108" t="s">
        <v>438</v>
      </c>
      <c r="E117" s="108" t="s">
        <v>438</v>
      </c>
      <c r="F117" s="112"/>
      <c r="G117" s="108" t="s">
        <v>438</v>
      </c>
      <c r="H117" s="112"/>
      <c r="I117" s="108">
        <v>0</v>
      </c>
      <c r="J117" s="108" t="b">
        <v>0</v>
      </c>
      <c r="K117" s="108"/>
      <c r="L117" s="112"/>
      <c r="M117" s="134"/>
      <c r="N117" s="134"/>
      <c r="O117" s="108"/>
    </row>
    <row r="118" spans="2:15" ht="14.4" x14ac:dyDescent="0.25">
      <c r="B118" s="107" t="s">
        <v>279</v>
      </c>
      <c r="C118" s="107" t="s">
        <v>83</v>
      </c>
      <c r="D118" s="108" t="s">
        <v>439</v>
      </c>
      <c r="E118" s="108" t="s">
        <v>439</v>
      </c>
      <c r="F118" s="112"/>
      <c r="G118" s="108" t="s">
        <v>439</v>
      </c>
      <c r="H118" s="112"/>
      <c r="I118" s="108">
        <v>0</v>
      </c>
      <c r="J118" s="108" t="b">
        <v>0</v>
      </c>
      <c r="K118" s="108"/>
      <c r="L118" s="112"/>
      <c r="M118" s="134"/>
      <c r="N118" s="134"/>
      <c r="O118" s="108"/>
    </row>
    <row r="119" spans="2:15" ht="14.4" x14ac:dyDescent="0.25">
      <c r="B119" s="107" t="s">
        <v>279</v>
      </c>
      <c r="C119" s="107" t="s">
        <v>83</v>
      </c>
      <c r="D119" s="108" t="s">
        <v>440</v>
      </c>
      <c r="E119" s="108" t="s">
        <v>440</v>
      </c>
      <c r="F119" s="112"/>
      <c r="G119" s="108" t="s">
        <v>440</v>
      </c>
      <c r="H119" s="112"/>
      <c r="I119" s="108">
        <v>0</v>
      </c>
      <c r="J119" s="108" t="b">
        <v>0</v>
      </c>
      <c r="K119" s="108"/>
      <c r="L119" s="112"/>
      <c r="M119" s="134"/>
      <c r="N119" s="134"/>
      <c r="O119" s="108"/>
    </row>
    <row r="120" spans="2:15" ht="14.4" x14ac:dyDescent="0.25">
      <c r="B120" s="107" t="s">
        <v>279</v>
      </c>
      <c r="C120" s="107" t="s">
        <v>83</v>
      </c>
      <c r="D120" s="108" t="s">
        <v>441</v>
      </c>
      <c r="E120" s="108" t="s">
        <v>441</v>
      </c>
      <c r="F120" s="112"/>
      <c r="G120" s="108" t="s">
        <v>441</v>
      </c>
      <c r="H120" s="112"/>
      <c r="I120" s="108">
        <v>0</v>
      </c>
      <c r="J120" s="108" t="b">
        <v>0</v>
      </c>
      <c r="K120" s="108"/>
      <c r="L120" s="112"/>
      <c r="M120" s="134"/>
      <c r="N120" s="134"/>
      <c r="O120" s="108"/>
    </row>
    <row r="121" spans="2:15" ht="14.4" x14ac:dyDescent="0.25">
      <c r="B121" s="107" t="s">
        <v>279</v>
      </c>
      <c r="C121" s="107" t="s">
        <v>83</v>
      </c>
      <c r="D121" s="108" t="s">
        <v>442</v>
      </c>
      <c r="E121" s="108" t="s">
        <v>442</v>
      </c>
      <c r="F121" s="112"/>
      <c r="G121" s="108" t="s">
        <v>442</v>
      </c>
      <c r="H121" s="112"/>
      <c r="I121" s="108">
        <v>0</v>
      </c>
      <c r="J121" s="108" t="b">
        <v>0</v>
      </c>
      <c r="K121" s="108"/>
      <c r="L121" s="112"/>
      <c r="M121" s="134"/>
      <c r="N121" s="134"/>
      <c r="O121" s="108"/>
    </row>
    <row r="122" spans="2:15" ht="14.4" x14ac:dyDescent="0.25">
      <c r="B122" s="107" t="s">
        <v>279</v>
      </c>
      <c r="C122" s="107" t="s">
        <v>83</v>
      </c>
      <c r="D122" s="108" t="s">
        <v>443</v>
      </c>
      <c r="E122" s="108" t="s">
        <v>443</v>
      </c>
      <c r="F122" s="112"/>
      <c r="G122" s="108" t="s">
        <v>443</v>
      </c>
      <c r="H122" s="112"/>
      <c r="I122" s="108">
        <v>0</v>
      </c>
      <c r="J122" s="108" t="b">
        <v>0</v>
      </c>
      <c r="K122" s="108"/>
      <c r="L122" s="112"/>
      <c r="M122" s="134"/>
      <c r="N122" s="134"/>
      <c r="O122" s="108"/>
    </row>
    <row r="123" spans="2:15" ht="14.4" x14ac:dyDescent="0.25">
      <c r="B123" s="107" t="s">
        <v>279</v>
      </c>
      <c r="C123" s="107" t="s">
        <v>83</v>
      </c>
      <c r="D123" s="108" t="s">
        <v>444</v>
      </c>
      <c r="E123" s="108" t="s">
        <v>444</v>
      </c>
      <c r="F123" s="112"/>
      <c r="G123" s="108" t="s">
        <v>444</v>
      </c>
      <c r="H123" s="112"/>
      <c r="I123" s="108">
        <v>0</v>
      </c>
      <c r="J123" s="108" t="b">
        <v>0</v>
      </c>
      <c r="K123" s="108"/>
      <c r="L123" s="112"/>
      <c r="M123" s="134"/>
      <c r="N123" s="134"/>
      <c r="O123" s="108"/>
    </row>
    <row r="124" spans="2:15" ht="14.4" x14ac:dyDescent="0.25">
      <c r="B124" s="107" t="s">
        <v>279</v>
      </c>
      <c r="C124" s="107" t="s">
        <v>83</v>
      </c>
      <c r="D124" s="108" t="s">
        <v>445</v>
      </c>
      <c r="E124" s="108" t="s">
        <v>445</v>
      </c>
      <c r="F124" s="112"/>
      <c r="G124" s="108" t="s">
        <v>445</v>
      </c>
      <c r="H124" s="112"/>
      <c r="I124" s="108">
        <v>0</v>
      </c>
      <c r="J124" s="108" t="b">
        <v>0</v>
      </c>
      <c r="K124" s="108"/>
      <c r="L124" s="112"/>
      <c r="M124" s="134"/>
      <c r="N124" s="134"/>
      <c r="O124" s="108"/>
    </row>
    <row r="125" spans="2:15" ht="14.4" x14ac:dyDescent="0.25">
      <c r="B125" s="107" t="s">
        <v>279</v>
      </c>
      <c r="C125" s="107" t="s">
        <v>83</v>
      </c>
      <c r="D125" s="108" t="s">
        <v>446</v>
      </c>
      <c r="E125" s="108" t="s">
        <v>446</v>
      </c>
      <c r="F125" s="112"/>
      <c r="G125" s="108" t="s">
        <v>446</v>
      </c>
      <c r="H125" s="112"/>
      <c r="I125" s="108">
        <v>0</v>
      </c>
      <c r="J125" s="108" t="b">
        <v>0</v>
      </c>
      <c r="K125" s="108"/>
      <c r="L125" s="112"/>
      <c r="M125" s="134"/>
      <c r="N125" s="134"/>
      <c r="O125" s="108"/>
    </row>
    <row r="126" spans="2:15" ht="14.4" x14ac:dyDescent="0.25">
      <c r="B126" s="107" t="s">
        <v>279</v>
      </c>
      <c r="C126" s="107" t="s">
        <v>83</v>
      </c>
      <c r="D126" s="108" t="s">
        <v>447</v>
      </c>
      <c r="E126" s="108" t="s">
        <v>447</v>
      </c>
      <c r="F126" s="112"/>
      <c r="G126" s="108" t="s">
        <v>447</v>
      </c>
      <c r="H126" s="112"/>
      <c r="I126" s="108">
        <v>0</v>
      </c>
      <c r="J126" s="108" t="b">
        <v>0</v>
      </c>
      <c r="K126" s="108"/>
      <c r="L126" s="112"/>
      <c r="M126" s="134"/>
      <c r="N126" s="134"/>
      <c r="O126" s="108"/>
    </row>
    <row r="127" spans="2:15" ht="14.4" x14ac:dyDescent="0.25">
      <c r="B127" s="107" t="s">
        <v>279</v>
      </c>
      <c r="C127" s="107" t="s">
        <v>83</v>
      </c>
      <c r="D127" s="108" t="s">
        <v>448</v>
      </c>
      <c r="E127" s="108" t="s">
        <v>448</v>
      </c>
      <c r="F127" s="112"/>
      <c r="G127" s="108" t="s">
        <v>448</v>
      </c>
      <c r="H127" s="112"/>
      <c r="I127" s="108">
        <v>0</v>
      </c>
      <c r="J127" s="108" t="b">
        <v>0</v>
      </c>
      <c r="K127" s="108"/>
      <c r="L127" s="112"/>
      <c r="M127" s="134"/>
      <c r="N127" s="134"/>
      <c r="O127" s="108"/>
    </row>
    <row r="128" spans="2:15" ht="14.4" x14ac:dyDescent="0.25">
      <c r="B128" s="107" t="s">
        <v>279</v>
      </c>
      <c r="C128" s="107" t="s">
        <v>83</v>
      </c>
      <c r="D128" s="108" t="s">
        <v>449</v>
      </c>
      <c r="E128" s="108" t="s">
        <v>449</v>
      </c>
      <c r="F128" s="112"/>
      <c r="G128" s="108" t="s">
        <v>449</v>
      </c>
      <c r="H128" s="112"/>
      <c r="I128" s="108">
        <v>0</v>
      </c>
      <c r="J128" s="108" t="b">
        <v>0</v>
      </c>
      <c r="K128" s="108"/>
      <c r="L128" s="112"/>
      <c r="M128" s="134"/>
      <c r="N128" s="134"/>
      <c r="O128" s="108"/>
    </row>
    <row r="129" spans="2:15" ht="14.4" x14ac:dyDescent="0.25">
      <c r="B129" s="107" t="s">
        <v>279</v>
      </c>
      <c r="C129" s="107" t="s">
        <v>83</v>
      </c>
      <c r="D129" s="108" t="s">
        <v>450</v>
      </c>
      <c r="E129" s="108" t="s">
        <v>450</v>
      </c>
      <c r="F129" s="112"/>
      <c r="G129" s="108" t="s">
        <v>450</v>
      </c>
      <c r="H129" s="112"/>
      <c r="I129" s="108">
        <v>0</v>
      </c>
      <c r="J129" s="108" t="b">
        <v>0</v>
      </c>
      <c r="K129" s="108"/>
      <c r="L129" s="112"/>
      <c r="M129" s="134"/>
      <c r="N129" s="134"/>
      <c r="O129" s="108"/>
    </row>
    <row r="130" spans="2:15" ht="14.4" x14ac:dyDescent="0.25">
      <c r="B130" s="107" t="s">
        <v>279</v>
      </c>
      <c r="C130" s="107" t="s">
        <v>83</v>
      </c>
      <c r="D130" s="108" t="s">
        <v>451</v>
      </c>
      <c r="E130" s="108" t="s">
        <v>451</v>
      </c>
      <c r="F130" s="112"/>
      <c r="G130" s="108" t="s">
        <v>451</v>
      </c>
      <c r="H130" s="112"/>
      <c r="I130" s="108">
        <v>0</v>
      </c>
      <c r="J130" s="108" t="b">
        <v>0</v>
      </c>
      <c r="K130" s="108"/>
      <c r="L130" s="112"/>
      <c r="M130" s="134"/>
      <c r="N130" s="134"/>
      <c r="O130" s="108"/>
    </row>
    <row r="131" spans="2:15" ht="14.4" x14ac:dyDescent="0.25">
      <c r="B131" s="107" t="s">
        <v>279</v>
      </c>
      <c r="C131" s="107" t="s">
        <v>83</v>
      </c>
      <c r="D131" s="108" t="s">
        <v>452</v>
      </c>
      <c r="E131" s="108" t="s">
        <v>452</v>
      </c>
      <c r="F131" s="112"/>
      <c r="G131" s="108" t="s">
        <v>452</v>
      </c>
      <c r="H131" s="112"/>
      <c r="I131" s="108">
        <v>0</v>
      </c>
      <c r="J131" s="108" t="b">
        <v>0</v>
      </c>
      <c r="K131" s="108"/>
      <c r="L131" s="112"/>
      <c r="M131" s="134"/>
      <c r="N131" s="134"/>
      <c r="O131" s="108"/>
    </row>
    <row r="132" spans="2:15" ht="14.4" x14ac:dyDescent="0.25">
      <c r="B132" s="103" t="s">
        <v>316</v>
      </c>
      <c r="C132" s="104"/>
      <c r="D132" s="103"/>
      <c r="E132" s="103"/>
      <c r="F132" s="113"/>
      <c r="G132" s="103"/>
      <c r="H132" s="113"/>
      <c r="I132" s="103"/>
      <c r="J132" s="103"/>
      <c r="K132" s="103"/>
      <c r="L132" s="113"/>
      <c r="M132" s="132"/>
      <c r="N132" s="132"/>
      <c r="O132" s="103"/>
    </row>
    <row r="133" spans="2:15" ht="14.4" x14ac:dyDescent="0.25">
      <c r="B133" s="107" t="s">
        <v>316</v>
      </c>
      <c r="C133" s="107" t="s">
        <v>83</v>
      </c>
      <c r="D133" s="108" t="s">
        <v>453</v>
      </c>
      <c r="E133" s="108" t="s">
        <v>453</v>
      </c>
      <c r="F133" s="112"/>
      <c r="G133" s="108" t="s">
        <v>453</v>
      </c>
      <c r="H133" s="112"/>
      <c r="I133" s="108">
        <v>10</v>
      </c>
      <c r="J133" s="108" t="b">
        <v>0</v>
      </c>
      <c r="K133" s="108"/>
      <c r="L133" s="112"/>
      <c r="M133" s="134"/>
      <c r="N133" s="134"/>
      <c r="O133" s="108"/>
    </row>
    <row r="134" spans="2:15" ht="14.4" x14ac:dyDescent="0.25">
      <c r="B134" s="107" t="s">
        <v>316</v>
      </c>
      <c r="C134" s="107" t="s">
        <v>83</v>
      </c>
      <c r="D134" s="108" t="s">
        <v>454</v>
      </c>
      <c r="E134" s="108" t="s">
        <v>454</v>
      </c>
      <c r="F134" s="112"/>
      <c r="G134" s="108" t="s">
        <v>454</v>
      </c>
      <c r="H134" s="112"/>
      <c r="I134" s="108">
        <v>20</v>
      </c>
      <c r="J134" s="108" t="b">
        <v>0</v>
      </c>
      <c r="K134" s="108"/>
      <c r="L134" s="112"/>
      <c r="M134" s="134"/>
      <c r="N134" s="134"/>
      <c r="O134" s="108"/>
    </row>
    <row r="135" spans="2:15" ht="14.4" x14ac:dyDescent="0.25">
      <c r="B135" s="107" t="s">
        <v>316</v>
      </c>
      <c r="C135" s="107" t="s">
        <v>83</v>
      </c>
      <c r="D135" s="108" t="s">
        <v>455</v>
      </c>
      <c r="E135" s="108" t="s">
        <v>455</v>
      </c>
      <c r="F135" s="112"/>
      <c r="G135" s="108" t="s">
        <v>455</v>
      </c>
      <c r="H135" s="112"/>
      <c r="I135" s="108">
        <v>30</v>
      </c>
      <c r="J135" s="108" t="b">
        <v>0</v>
      </c>
      <c r="K135" s="108"/>
      <c r="L135" s="112"/>
      <c r="M135" s="134"/>
      <c r="N135" s="134"/>
      <c r="O135" s="108"/>
    </row>
    <row r="136" spans="2:15" ht="14.4" x14ac:dyDescent="0.25">
      <c r="B136" s="107" t="s">
        <v>316</v>
      </c>
      <c r="C136" s="107" t="s">
        <v>83</v>
      </c>
      <c r="D136" s="108" t="s">
        <v>456</v>
      </c>
      <c r="E136" s="108" t="s">
        <v>456</v>
      </c>
      <c r="F136" s="112"/>
      <c r="G136" s="108" t="s">
        <v>456</v>
      </c>
      <c r="H136" s="112"/>
      <c r="I136" s="108">
        <v>40</v>
      </c>
      <c r="J136" s="108" t="b">
        <v>0</v>
      </c>
      <c r="K136" s="108"/>
      <c r="L136" s="112"/>
      <c r="M136" s="134"/>
      <c r="N136" s="134"/>
      <c r="O136" s="108"/>
    </row>
    <row r="137" spans="2:15" ht="14.4" x14ac:dyDescent="0.25">
      <c r="B137" s="107" t="s">
        <v>316</v>
      </c>
      <c r="C137" s="107" t="s">
        <v>83</v>
      </c>
      <c r="D137" s="108" t="s">
        <v>457</v>
      </c>
      <c r="E137" s="108" t="s">
        <v>457</v>
      </c>
      <c r="F137" s="112"/>
      <c r="G137" s="108" t="s">
        <v>457</v>
      </c>
      <c r="H137" s="112"/>
      <c r="I137" s="108">
        <v>50</v>
      </c>
      <c r="J137" s="108" t="b">
        <v>0</v>
      </c>
      <c r="K137" s="108"/>
      <c r="L137" s="112"/>
      <c r="M137" s="134"/>
      <c r="N137" s="134"/>
      <c r="O137" s="108"/>
    </row>
    <row r="138" spans="2:15" ht="14.4" x14ac:dyDescent="0.25">
      <c r="B138" s="107" t="s">
        <v>316</v>
      </c>
      <c r="C138" s="107" t="s">
        <v>83</v>
      </c>
      <c r="D138" s="108" t="s">
        <v>458</v>
      </c>
      <c r="E138" s="108" t="s">
        <v>458</v>
      </c>
      <c r="F138" s="112"/>
      <c r="G138" s="108" t="s">
        <v>458</v>
      </c>
      <c r="H138" s="112"/>
      <c r="I138" s="108">
        <v>60</v>
      </c>
      <c r="J138" s="108" t="b">
        <v>0</v>
      </c>
      <c r="K138" s="108"/>
      <c r="L138" s="112"/>
      <c r="M138" s="134"/>
      <c r="N138" s="134"/>
      <c r="O138" s="108"/>
    </row>
    <row r="139" spans="2:15" ht="13.95" customHeight="1" x14ac:dyDescent="0.25">
      <c r="B139" s="186" t="s">
        <v>316</v>
      </c>
      <c r="C139" s="107" t="s">
        <v>83</v>
      </c>
      <c r="D139" s="187" t="s">
        <v>459</v>
      </c>
      <c r="E139" s="187" t="s">
        <v>459</v>
      </c>
      <c r="F139" s="111"/>
      <c r="G139" s="187" t="s">
        <v>459</v>
      </c>
      <c r="H139" s="111"/>
      <c r="I139" s="187">
        <v>70</v>
      </c>
      <c r="J139" s="187" t="b">
        <v>0</v>
      </c>
      <c r="K139" s="187"/>
      <c r="L139" s="111"/>
      <c r="M139" s="188"/>
      <c r="N139" s="188"/>
      <c r="O139" s="187"/>
    </row>
    <row r="140" spans="2:15" s="126" customFormat="1" ht="14.4" x14ac:dyDescent="0.25">
      <c r="B140" s="151"/>
      <c r="C140" s="151"/>
      <c r="D140" s="150"/>
      <c r="E140" s="150"/>
      <c r="F140" s="152"/>
      <c r="G140" s="150"/>
      <c r="H140" s="152"/>
      <c r="I140" s="150"/>
      <c r="J140" s="150"/>
      <c r="K140" s="150"/>
      <c r="L140" s="152"/>
      <c r="M140" s="153"/>
      <c r="N140" s="153"/>
      <c r="O140" s="150"/>
    </row>
    <row r="141" spans="2:15" s="126" customFormat="1" ht="14.4" x14ac:dyDescent="0.25">
      <c r="B141" s="129"/>
      <c r="C141" s="129"/>
      <c r="D141" s="130"/>
      <c r="E141" s="154"/>
      <c r="F141" s="154"/>
      <c r="G141" s="154"/>
      <c r="H141" s="154"/>
      <c r="I141" s="130"/>
      <c r="J141" s="131"/>
      <c r="K141" s="130"/>
      <c r="L141" s="154"/>
      <c r="M141" s="135"/>
      <c r="N141" s="135"/>
      <c r="O141" s="130"/>
    </row>
    <row r="142" spans="2:15" s="126" customFormat="1" ht="14.4" x14ac:dyDescent="0.25">
      <c r="B142" s="129"/>
      <c r="C142" s="129"/>
      <c r="D142" s="130"/>
      <c r="E142" s="154"/>
      <c r="F142" s="154"/>
      <c r="G142" s="154"/>
      <c r="H142" s="154"/>
      <c r="I142" s="130"/>
      <c r="J142" s="131"/>
      <c r="K142" s="130"/>
      <c r="L142" s="154"/>
      <c r="M142" s="135"/>
      <c r="N142" s="135"/>
      <c r="O142" s="130"/>
    </row>
    <row r="143" spans="2:15" s="126" customFormat="1" ht="14.4" x14ac:dyDescent="0.25">
      <c r="B143" s="129"/>
      <c r="C143" s="129"/>
      <c r="D143" s="130"/>
      <c r="E143" s="154"/>
      <c r="F143" s="154"/>
      <c r="G143" s="154"/>
      <c r="H143" s="154"/>
      <c r="I143" s="130"/>
      <c r="J143" s="131"/>
      <c r="K143" s="130"/>
      <c r="L143" s="154"/>
      <c r="M143" s="135"/>
      <c r="N143" s="135"/>
      <c r="O143" s="130"/>
    </row>
    <row r="144" spans="2:15" s="126" customFormat="1" ht="14.4" x14ac:dyDescent="0.25">
      <c r="B144" s="129"/>
      <c r="C144" s="129"/>
      <c r="D144" s="130"/>
      <c r="E144" s="154"/>
      <c r="F144" s="154"/>
      <c r="G144" s="154"/>
      <c r="H144" s="154"/>
      <c r="I144" s="130"/>
      <c r="J144" s="131"/>
      <c r="K144" s="130"/>
      <c r="L144" s="154"/>
      <c r="M144" s="135"/>
      <c r="N144" s="135"/>
      <c r="O144" s="130"/>
    </row>
    <row r="145" spans="2:15" s="126" customFormat="1" ht="14.4" x14ac:dyDescent="0.25">
      <c r="B145" s="129"/>
      <c r="C145" s="129"/>
      <c r="D145" s="130"/>
      <c r="E145" s="154"/>
      <c r="F145" s="154"/>
      <c r="G145" s="154"/>
      <c r="H145" s="154"/>
      <c r="I145" s="130"/>
      <c r="J145" s="131"/>
      <c r="K145" s="130"/>
      <c r="L145" s="154"/>
      <c r="M145" s="135"/>
      <c r="N145" s="135"/>
      <c r="O145" s="130"/>
    </row>
    <row r="146" spans="2:15" s="126" customFormat="1" ht="14.4" x14ac:dyDescent="0.25">
      <c r="B146" s="129"/>
      <c r="C146" s="129"/>
      <c r="D146" s="130"/>
      <c r="E146" s="154"/>
      <c r="F146" s="154"/>
      <c r="G146" s="154"/>
      <c r="H146" s="154"/>
      <c r="I146" s="130"/>
      <c r="J146" s="131"/>
      <c r="K146" s="130"/>
      <c r="L146" s="154"/>
      <c r="M146" s="135"/>
      <c r="N146" s="135"/>
      <c r="O146" s="130"/>
    </row>
    <row r="147" spans="2:15" s="126" customFormat="1" ht="14.4" x14ac:dyDescent="0.25">
      <c r="B147" s="129"/>
      <c r="C147" s="129"/>
      <c r="D147" s="130"/>
      <c r="E147" s="154"/>
      <c r="F147" s="154"/>
      <c r="G147" s="154"/>
      <c r="H147" s="154"/>
      <c r="I147" s="130"/>
      <c r="J147" s="131"/>
      <c r="K147" s="130"/>
      <c r="L147" s="154"/>
      <c r="M147" s="135"/>
      <c r="N147" s="135"/>
      <c r="O147" s="130"/>
    </row>
    <row r="148" spans="2:15" s="126" customFormat="1" ht="14.4" x14ac:dyDescent="0.25">
      <c r="B148" s="129"/>
      <c r="C148" s="129"/>
      <c r="D148" s="130"/>
      <c r="E148" s="154"/>
      <c r="F148" s="154"/>
      <c r="G148" s="154"/>
      <c r="H148" s="154"/>
      <c r="I148" s="130"/>
      <c r="J148" s="131"/>
      <c r="K148" s="130"/>
      <c r="L148" s="154"/>
      <c r="M148" s="135"/>
      <c r="N148" s="135"/>
      <c r="O148" s="130"/>
    </row>
    <row r="149" spans="2:15" s="126" customFormat="1" ht="14.4" x14ac:dyDescent="0.25">
      <c r="B149" s="129"/>
      <c r="C149" s="129"/>
      <c r="D149" s="130"/>
      <c r="E149" s="154"/>
      <c r="F149" s="154"/>
      <c r="G149" s="154"/>
      <c r="H149" s="154"/>
      <c r="I149" s="130"/>
      <c r="J149" s="131"/>
      <c r="K149" s="130"/>
      <c r="L149" s="154"/>
      <c r="M149" s="135"/>
      <c r="N149" s="135"/>
      <c r="O149" s="130"/>
    </row>
    <row r="150" spans="2:15" s="126" customFormat="1" ht="14.4" x14ac:dyDescent="0.25">
      <c r="B150" s="155"/>
      <c r="C150" s="129"/>
      <c r="D150" s="131"/>
      <c r="E150" s="156"/>
      <c r="F150" s="156"/>
      <c r="G150" s="156"/>
      <c r="H150" s="156"/>
      <c r="I150" s="130"/>
      <c r="J150" s="131"/>
      <c r="K150" s="131"/>
      <c r="L150" s="156"/>
      <c r="M150" s="124"/>
      <c r="N150" s="135"/>
      <c r="O150" s="130"/>
    </row>
  </sheetData>
  <mergeCells count="23">
    <mergeCell ref="F10:G10"/>
    <mergeCell ref="D11:E11"/>
    <mergeCell ref="F11:G11"/>
    <mergeCell ref="H11:J11"/>
    <mergeCell ref="D12:E12"/>
    <mergeCell ref="F12:G12"/>
    <mergeCell ref="H12:J12"/>
    <mergeCell ref="B14:L14"/>
    <mergeCell ref="D8:E8"/>
    <mergeCell ref="D7:E7"/>
    <mergeCell ref="F7:G7"/>
    <mergeCell ref="F4:G4"/>
    <mergeCell ref="F5:G5"/>
    <mergeCell ref="F6:G6"/>
    <mergeCell ref="F8:G8"/>
    <mergeCell ref="D6:E6"/>
    <mergeCell ref="D4:E4"/>
    <mergeCell ref="D5:E5"/>
    <mergeCell ref="H6:J6"/>
    <mergeCell ref="H8:J8"/>
    <mergeCell ref="D9:E9"/>
    <mergeCell ref="F9:G9"/>
    <mergeCell ref="D10:E10"/>
  </mergeCells>
  <printOptions horizontalCentered="1"/>
  <pageMargins left="0.35433070866141736" right="0.35433070866141736" top="0.55118110236220474" bottom="0.47244094488188981" header="0.23622047244094491" footer="0.23622047244094491"/>
  <pageSetup paperSize="9" scale="40" orientation="landscape" r:id="rId1"/>
  <headerFooter alignWithMargins="0">
    <oddHeader>&amp;C&amp;F &amp;R&amp;A</oddHeader>
    <oddFooter>&amp;L&amp;"Arial,Bold Italic"&amp;8Commercial in Confidence
&amp;"Arial,Regular"&amp;Z&amp;F&amp;R&amp;8Page: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'Dropdown Lists'!$E$3:$E$4</xm:f>
          </x14:formula1>
          <xm:sqref>C16 C33 C132 C140</xm:sqref>
        </x14:dataValidation>
        <x14:dataValidation type="list" allowBlank="1" showInputMessage="1" showErrorMessage="1" xr:uid="{A52BCC57-7E54-48B0-BE45-0F98BA117029}">
          <x14:formula1>
            <xm:f>'Dropdown Lists'!$E$2:$E$4</xm:f>
          </x14:formula1>
          <xm:sqref>C17:C32 C34:C131 C133:C139 C141:C150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E5BA03"/>
    <pageSetUpPr fitToPage="1"/>
  </sheetPr>
  <dimension ref="A1:AA47"/>
  <sheetViews>
    <sheetView showGridLines="0" zoomScaleNormal="100" workbookViewId="0">
      <pane ySplit="15" topLeftCell="A16" activePane="bottomLeft" state="frozen"/>
      <selection pane="bottomLeft" activeCell="B16" sqref="B16"/>
    </sheetView>
  </sheetViews>
  <sheetFormatPr defaultColWidth="9.33203125" defaultRowHeight="13.8" x14ac:dyDescent="0.3"/>
  <cols>
    <col min="1" max="1" width="0.6640625" style="19" customWidth="1"/>
    <col min="2" max="2" width="37.6640625" style="19" customWidth="1"/>
    <col min="3" max="3" width="49.33203125" style="23" customWidth="1"/>
    <col min="4" max="4" width="55.88671875" style="19" customWidth="1"/>
    <col min="5" max="5" width="26.88671875" style="19" customWidth="1"/>
    <col min="6" max="6" width="48.6640625" style="14" customWidth="1"/>
    <col min="7" max="7" width="41.33203125" style="121" customWidth="1"/>
    <col min="8" max="8" width="12.109375" style="142" customWidth="1"/>
    <col min="9" max="9" width="22.6640625" style="19" customWidth="1"/>
    <col min="10" max="10" width="14.6640625" style="19" customWidth="1"/>
    <col min="11" max="16384" width="9.33203125" style="19"/>
  </cols>
  <sheetData>
    <row r="1" spans="1:27" s="10" customFormat="1" ht="28.5" customHeight="1" x14ac:dyDescent="0.25">
      <c r="B1" s="11" t="s">
        <v>460</v>
      </c>
      <c r="C1" s="12"/>
      <c r="D1" s="13"/>
      <c r="E1" s="13"/>
      <c r="G1" s="121"/>
      <c r="H1" s="122"/>
      <c r="I1" s="13"/>
      <c r="J1" s="13"/>
    </row>
    <row r="2" spans="1:27" s="40" customFormat="1" ht="16.5" customHeight="1" x14ac:dyDescent="0.25">
      <c r="B2" s="42" t="s">
        <v>461</v>
      </c>
      <c r="C2" s="38"/>
      <c r="D2" s="39"/>
      <c r="E2" s="39"/>
      <c r="G2" s="139"/>
      <c r="H2" s="140"/>
      <c r="I2" s="39"/>
      <c r="J2" s="39"/>
    </row>
    <row r="3" spans="1:27" s="14" customFormat="1" ht="17.25" customHeight="1" x14ac:dyDescent="0.25">
      <c r="G3" s="121"/>
      <c r="H3" s="121"/>
    </row>
    <row r="4" spans="1:27" s="5" customFormat="1" ht="14.4" x14ac:dyDescent="0.3">
      <c r="B4" s="8" t="s">
        <v>2</v>
      </c>
      <c r="C4" s="93" t="str">
        <f>'Document Control'!C4</f>
        <v>PC</v>
      </c>
      <c r="D4" s="94" t="s">
        <v>4</v>
      </c>
      <c r="E4" s="95" t="str">
        <f>'Document Control'!G4</f>
        <v>US444</v>
      </c>
      <c r="F4" s="14"/>
      <c r="G4" s="121"/>
      <c r="H4" s="121"/>
    </row>
    <row r="5" spans="1:27" s="5" customFormat="1" ht="14.4" x14ac:dyDescent="0.3">
      <c r="B5" s="8" t="s">
        <v>6</v>
      </c>
      <c r="C5" s="93" t="str">
        <f>'Document Control'!C5</f>
        <v>Policy Info</v>
      </c>
      <c r="D5" s="94" t="s">
        <v>8</v>
      </c>
      <c r="E5" s="95" t="str">
        <f>'Document Control'!G5</f>
        <v>Not Started</v>
      </c>
      <c r="F5" s="14"/>
      <c r="G5" s="121"/>
      <c r="H5" s="121"/>
    </row>
    <row r="6" spans="1:27" s="5" customFormat="1" ht="14.4" x14ac:dyDescent="0.3">
      <c r="B6" s="8" t="s">
        <v>10</v>
      </c>
      <c r="C6" s="93" t="str">
        <f>'Document Control'!C6</f>
        <v>QuoteApplication</v>
      </c>
      <c r="D6" s="94" t="s">
        <v>12</v>
      </c>
      <c r="E6" s="95" t="str">
        <f>'Document Control'!G6</f>
        <v>10900-GW.2</v>
      </c>
      <c r="F6" s="14"/>
      <c r="G6" s="121"/>
      <c r="H6" s="121"/>
    </row>
    <row r="7" spans="1:27" s="14" customFormat="1" ht="14.4" x14ac:dyDescent="0.25">
      <c r="A7" s="16"/>
      <c r="B7" s="8" t="str">
        <f>'Document Control'!B7</f>
        <v>Gap Business Value</v>
      </c>
      <c r="C7" s="93" t="str">
        <f>'Document Control'!C7</f>
        <v>3 - Significant Value</v>
      </c>
      <c r="D7" s="94" t="s">
        <v>16</v>
      </c>
      <c r="E7" s="95" t="str">
        <f>'Document Control'!G7</f>
        <v>4 - Full Product Alignment</v>
      </c>
      <c r="F7" s="16"/>
      <c r="G7" s="122"/>
      <c r="H7" s="121"/>
      <c r="K7" s="16"/>
      <c r="L7" s="16"/>
      <c r="M7" s="16"/>
      <c r="N7" s="16"/>
      <c r="O7" s="16"/>
      <c r="P7" s="16"/>
      <c r="Q7" s="16"/>
      <c r="R7" s="16"/>
      <c r="S7" s="16"/>
      <c r="T7" s="16"/>
      <c r="U7" s="16"/>
      <c r="V7" s="16"/>
      <c r="W7" s="16"/>
      <c r="X7" s="16"/>
      <c r="Y7" s="16"/>
      <c r="Z7" s="16"/>
      <c r="AA7" s="16"/>
    </row>
    <row r="8" spans="1:27" s="5" customFormat="1" ht="14.4" x14ac:dyDescent="0.3">
      <c r="B8" s="8" t="s">
        <v>18</v>
      </c>
      <c r="C8" s="93" t="str">
        <f>'Document Control'!C8</f>
        <v>Project</v>
      </c>
      <c r="D8" s="94" t="s">
        <v>20</v>
      </c>
      <c r="E8" s="95" t="str">
        <f>'Document Control'!G8</f>
        <v>1. Critical</v>
      </c>
      <c r="F8" s="14"/>
      <c r="G8" s="121"/>
      <c r="H8" s="121"/>
    </row>
    <row r="9" spans="1:27" s="5" customFormat="1" ht="14.4" x14ac:dyDescent="0.3">
      <c r="B9" s="8" t="s">
        <v>22</v>
      </c>
      <c r="C9" s="93">
        <f>'Document Control'!C9</f>
        <v>0</v>
      </c>
      <c r="D9" s="94" t="s">
        <v>23</v>
      </c>
      <c r="E9" s="95">
        <f>'Document Control'!G9</f>
        <v>0</v>
      </c>
      <c r="F9" s="14"/>
      <c r="G9" s="121"/>
      <c r="H9" s="121"/>
    </row>
    <row r="10" spans="1:27" s="5" customFormat="1" ht="14.4" x14ac:dyDescent="0.3">
      <c r="B10" s="8"/>
      <c r="C10" s="93" t="str">
        <f>'Document Control'!C10</f>
        <v xml:space="preserve"> </v>
      </c>
      <c r="D10" s="94" t="s">
        <v>25</v>
      </c>
      <c r="E10" s="95" t="str">
        <f>'Document Control'!G10</f>
        <v>FUN_Standard</v>
      </c>
      <c r="F10" s="14"/>
      <c r="G10" s="121"/>
      <c r="H10" s="121"/>
    </row>
    <row r="11" spans="1:27" s="5" customFormat="1" ht="14.4" x14ac:dyDescent="0.3">
      <c r="B11" s="8"/>
      <c r="C11" s="93" t="str">
        <f>'Document Control'!C11</f>
        <v xml:space="preserve"> </v>
      </c>
      <c r="D11" s="94" t="s">
        <v>27</v>
      </c>
      <c r="E11" s="95">
        <f>'Document Control'!G11</f>
        <v>8</v>
      </c>
      <c r="F11" s="14"/>
      <c r="G11" s="121"/>
      <c r="H11" s="121"/>
    </row>
    <row r="12" spans="1:27" s="5" customFormat="1" ht="14.4" x14ac:dyDescent="0.3">
      <c r="B12" s="8" t="s">
        <v>28</v>
      </c>
      <c r="C12" s="93">
        <f>'Document Control'!C12</f>
        <v>0</v>
      </c>
      <c r="D12" s="94" t="s">
        <v>29</v>
      </c>
      <c r="E12" s="95">
        <f>'Document Control'!G12</f>
        <v>0</v>
      </c>
      <c r="F12" s="14"/>
      <c r="G12" s="121"/>
      <c r="H12" s="121"/>
    </row>
    <row r="13" spans="1:27" s="5" customFormat="1" x14ac:dyDescent="0.3">
      <c r="B13" s="17"/>
      <c r="C13" s="18"/>
      <c r="D13" s="18"/>
      <c r="E13" s="18"/>
      <c r="F13" s="14"/>
      <c r="G13" s="121"/>
      <c r="H13" s="121"/>
    </row>
    <row r="14" spans="1:27" ht="14.4" x14ac:dyDescent="0.3">
      <c r="B14" s="164" t="s">
        <v>462</v>
      </c>
      <c r="C14" s="165"/>
      <c r="D14" s="165"/>
      <c r="E14" s="165"/>
      <c r="F14" s="165"/>
      <c r="G14" s="165"/>
      <c r="H14" s="165"/>
      <c r="I14" s="165"/>
      <c r="J14" s="165"/>
    </row>
    <row r="15" spans="1:27" ht="25.5" customHeight="1" x14ac:dyDescent="0.3">
      <c r="B15" s="61" t="s">
        <v>61</v>
      </c>
      <c r="C15" s="61" t="s">
        <v>463</v>
      </c>
      <c r="D15" s="62" t="s">
        <v>464</v>
      </c>
      <c r="E15" s="61" t="s">
        <v>465</v>
      </c>
      <c r="F15" s="61" t="s">
        <v>466</v>
      </c>
      <c r="G15" s="61" t="s">
        <v>467</v>
      </c>
      <c r="H15" s="61" t="s">
        <v>80</v>
      </c>
      <c r="I15" s="61" t="s">
        <v>47</v>
      </c>
      <c r="J15" s="61" t="s">
        <v>468</v>
      </c>
    </row>
    <row r="16" spans="1:27" s="20" customFormat="1" ht="27.6" x14ac:dyDescent="0.25">
      <c r="B16" s="21" t="s">
        <v>469</v>
      </c>
      <c r="C16" s="21" t="s">
        <v>470</v>
      </c>
      <c r="D16" s="22" t="s">
        <v>471</v>
      </c>
      <c r="E16" s="22" t="s">
        <v>472</v>
      </c>
      <c r="F16" s="22"/>
      <c r="G16" s="22" t="s">
        <v>473</v>
      </c>
      <c r="H16" s="115"/>
      <c r="I16" s="115"/>
      <c r="J16" s="157" t="s">
        <v>474</v>
      </c>
    </row>
    <row r="17" spans="2:10" s="20" customFormat="1" ht="14.4" x14ac:dyDescent="0.25">
      <c r="B17" s="21" t="s">
        <v>469</v>
      </c>
      <c r="C17" s="21" t="s">
        <v>475</v>
      </c>
      <c r="D17" s="21" t="s">
        <v>476</v>
      </c>
      <c r="E17" s="22"/>
      <c r="F17" s="22"/>
      <c r="G17" s="22"/>
      <c r="H17" s="115"/>
      <c r="I17" s="115"/>
      <c r="J17" s="157" t="s">
        <v>477</v>
      </c>
    </row>
    <row r="18" spans="2:10" ht="14.4" x14ac:dyDescent="0.3">
      <c r="B18" s="21" t="s">
        <v>469</v>
      </c>
      <c r="C18" s="21" t="s">
        <v>254</v>
      </c>
      <c r="D18" s="21" t="s">
        <v>478</v>
      </c>
      <c r="E18" s="22"/>
      <c r="F18" s="22"/>
      <c r="G18" s="22"/>
      <c r="H18" s="115"/>
      <c r="I18" s="141"/>
      <c r="J18" s="157" t="s">
        <v>479</v>
      </c>
    </row>
    <row r="19" spans="2:10" ht="27.6" x14ac:dyDescent="0.3">
      <c r="B19" s="21" t="s">
        <v>469</v>
      </c>
      <c r="C19" s="21" t="s">
        <v>258</v>
      </c>
      <c r="D19" s="22" t="s">
        <v>480</v>
      </c>
      <c r="E19" s="22"/>
      <c r="F19" s="22"/>
      <c r="G19" s="22" t="s">
        <v>481</v>
      </c>
      <c r="H19" s="115"/>
      <c r="I19" s="141"/>
      <c r="J19" s="157" t="s">
        <v>482</v>
      </c>
    </row>
    <row r="20" spans="2:10" ht="14.4" x14ac:dyDescent="0.3">
      <c r="B20" s="136"/>
      <c r="C20" s="137"/>
      <c r="D20" s="137"/>
      <c r="E20" s="137"/>
      <c r="F20" s="137"/>
      <c r="G20" s="137"/>
      <c r="H20" s="143"/>
      <c r="I20" s="144"/>
      <c r="J20" s="125"/>
    </row>
    <row r="21" spans="2:10" ht="14.4" x14ac:dyDescent="0.3">
      <c r="F21" s="30"/>
      <c r="G21" s="138"/>
    </row>
    <row r="22" spans="2:10" ht="14.4" x14ac:dyDescent="0.3">
      <c r="F22" s="30"/>
      <c r="G22" s="138"/>
    </row>
    <row r="23" spans="2:10" ht="14.4" x14ac:dyDescent="0.3">
      <c r="F23" s="30"/>
      <c r="G23" s="138"/>
    </row>
    <row r="24" spans="2:10" ht="14.4" x14ac:dyDescent="0.3">
      <c r="F24" s="30"/>
      <c r="G24" s="138"/>
    </row>
    <row r="25" spans="2:10" ht="14.4" x14ac:dyDescent="0.3">
      <c r="F25" s="30"/>
      <c r="G25" s="138"/>
    </row>
    <row r="26" spans="2:10" ht="14.4" x14ac:dyDescent="0.3">
      <c r="F26" s="30"/>
      <c r="G26" s="138"/>
    </row>
    <row r="27" spans="2:10" ht="14.4" x14ac:dyDescent="0.3">
      <c r="F27" s="30"/>
      <c r="G27" s="138"/>
    </row>
    <row r="28" spans="2:10" ht="14.4" x14ac:dyDescent="0.3">
      <c r="F28" s="30"/>
      <c r="G28" s="138"/>
    </row>
    <row r="29" spans="2:10" ht="14.4" x14ac:dyDescent="0.3">
      <c r="F29" s="30"/>
      <c r="G29" s="138"/>
    </row>
    <row r="30" spans="2:10" ht="14.4" x14ac:dyDescent="0.3">
      <c r="F30" s="30"/>
      <c r="G30" s="138"/>
    </row>
    <row r="31" spans="2:10" ht="14.4" x14ac:dyDescent="0.3">
      <c r="F31" s="30"/>
      <c r="G31" s="138"/>
    </row>
    <row r="32" spans="2:10" ht="14.4" x14ac:dyDescent="0.3">
      <c r="F32" s="30"/>
      <c r="G32" s="138"/>
    </row>
    <row r="33" spans="6:7" ht="14.4" x14ac:dyDescent="0.3">
      <c r="F33" s="30"/>
      <c r="G33" s="138"/>
    </row>
    <row r="34" spans="6:7" ht="14.4" x14ac:dyDescent="0.3">
      <c r="F34" s="30"/>
      <c r="G34" s="138"/>
    </row>
    <row r="35" spans="6:7" ht="14.4" x14ac:dyDescent="0.3">
      <c r="F35" s="30"/>
      <c r="G35" s="138"/>
    </row>
    <row r="36" spans="6:7" ht="14.4" x14ac:dyDescent="0.3">
      <c r="F36" s="30"/>
      <c r="G36" s="138"/>
    </row>
    <row r="37" spans="6:7" ht="14.4" x14ac:dyDescent="0.3">
      <c r="F37" s="30"/>
      <c r="G37" s="138"/>
    </row>
    <row r="38" spans="6:7" ht="14.4" x14ac:dyDescent="0.3">
      <c r="F38" s="30"/>
      <c r="G38" s="138"/>
    </row>
    <row r="39" spans="6:7" ht="14.4" x14ac:dyDescent="0.3">
      <c r="F39" s="30"/>
      <c r="G39" s="138"/>
    </row>
    <row r="40" spans="6:7" ht="14.4" x14ac:dyDescent="0.3">
      <c r="F40" s="30"/>
      <c r="G40" s="138"/>
    </row>
    <row r="41" spans="6:7" ht="14.4" x14ac:dyDescent="0.3">
      <c r="F41" s="30"/>
      <c r="G41" s="138"/>
    </row>
    <row r="42" spans="6:7" ht="14.4" x14ac:dyDescent="0.3">
      <c r="F42" s="30"/>
      <c r="G42" s="138"/>
    </row>
    <row r="43" spans="6:7" ht="14.4" x14ac:dyDescent="0.3">
      <c r="F43" s="30"/>
      <c r="G43" s="138"/>
    </row>
    <row r="44" spans="6:7" ht="14.4" x14ac:dyDescent="0.3">
      <c r="F44" s="30"/>
      <c r="G44" s="138"/>
    </row>
    <row r="45" spans="6:7" ht="14.4" x14ac:dyDescent="0.3">
      <c r="F45" s="30"/>
      <c r="G45" s="138"/>
    </row>
    <row r="46" spans="6:7" ht="14.4" x14ac:dyDescent="0.3">
      <c r="F46" s="30"/>
      <c r="G46" s="138"/>
    </row>
    <row r="47" spans="6:7" ht="14.4" x14ac:dyDescent="0.3">
      <c r="F47" s="30"/>
      <c r="G47" s="138"/>
    </row>
  </sheetData>
  <autoFilter ref="B15:C17" xr:uid="{00000000-0009-0000-0000-000004000000}"/>
  <phoneticPr fontId="6" type="noConversion"/>
  <pageMargins left="0.28999999999999998" right="0.24" top="0.56000000000000005" bottom="0.49" header="0.24" footer="0.24"/>
  <pageSetup paperSize="9" scale="38" orientation="landscape" verticalDpi="1200" r:id="rId1"/>
  <headerFooter alignWithMargins="0">
    <oddHeader>&amp;C&amp;F &amp;R&amp;A</oddHeader>
    <oddFooter>&amp;L&amp;"Arial,Bold Italic"&amp;8Commercial in Confidence
&amp;"Arial,Regular"&amp;Z&amp;F&amp;R&amp;8Page: &amp;P of &amp;N</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8"/>
    <pageSetUpPr fitToPage="1"/>
  </sheetPr>
  <dimension ref="A1:J73"/>
  <sheetViews>
    <sheetView showGridLines="0" zoomScaleNormal="100" workbookViewId="0">
      <selection activeCell="B16" sqref="B16"/>
    </sheetView>
  </sheetViews>
  <sheetFormatPr defaultColWidth="9.33203125" defaultRowHeight="13.8" x14ac:dyDescent="0.25"/>
  <cols>
    <col min="1" max="1" width="0.33203125" style="14" customWidth="1"/>
    <col min="2" max="2" width="27.33203125" style="14" customWidth="1"/>
    <col min="3" max="3" width="49.6640625" style="14" customWidth="1"/>
    <col min="4" max="4" width="26.33203125" style="14" customWidth="1"/>
    <col min="5" max="5" width="17.6640625" style="14" customWidth="1"/>
    <col min="6" max="6" width="13.33203125" style="14" customWidth="1"/>
    <col min="7" max="7" width="21.5546875" style="14" customWidth="1"/>
    <col min="8" max="8" width="17" style="14" customWidth="1"/>
    <col min="9" max="9" width="15.88671875" style="14" customWidth="1"/>
    <col min="10" max="10" width="30.33203125" style="14" customWidth="1"/>
    <col min="11" max="16384" width="9.33203125" style="14"/>
  </cols>
  <sheetData>
    <row r="1" spans="1:10" customFormat="1" ht="28.5" customHeight="1" x14ac:dyDescent="0.25">
      <c r="A1" s="13"/>
      <c r="B1" s="11" t="s">
        <v>483</v>
      </c>
      <c r="C1" s="11"/>
      <c r="D1" s="43"/>
      <c r="E1" s="13"/>
      <c r="F1" s="13"/>
      <c r="G1" s="13"/>
      <c r="H1" s="13"/>
      <c r="I1" s="13"/>
      <c r="J1" s="10"/>
    </row>
    <row r="2" spans="1:10" customFormat="1" ht="16.5" customHeight="1" x14ac:dyDescent="0.25">
      <c r="A2" s="39"/>
      <c r="B2" s="42" t="s">
        <v>484</v>
      </c>
      <c r="C2" s="42"/>
      <c r="D2" s="44"/>
      <c r="E2" s="39"/>
      <c r="F2" s="39"/>
      <c r="G2" s="39"/>
      <c r="H2" s="39"/>
      <c r="I2" s="39"/>
    </row>
    <row r="3" spans="1:10" customFormat="1" ht="17.25" customHeight="1" x14ac:dyDescent="0.25">
      <c r="A3" s="16"/>
      <c r="B3" s="16"/>
      <c r="C3" s="16"/>
      <c r="D3" s="16"/>
      <c r="E3" s="16"/>
      <c r="F3" s="16"/>
      <c r="G3" s="16"/>
      <c r="H3" s="16"/>
      <c r="I3" s="16"/>
    </row>
    <row r="4" spans="1:10" customFormat="1" ht="15" customHeight="1" x14ac:dyDescent="0.25">
      <c r="A4" s="16"/>
      <c r="B4" s="8" t="s">
        <v>2</v>
      </c>
      <c r="C4" s="203" t="str">
        <f>'Document Control'!C4</f>
        <v>PC</v>
      </c>
      <c r="D4" s="226"/>
      <c r="E4" s="199" t="s">
        <v>4</v>
      </c>
      <c r="F4" s="199"/>
      <c r="G4" s="210" t="str">
        <f>'Document Control'!G4</f>
        <v>US444</v>
      </c>
      <c r="H4" s="208"/>
      <c r="I4" s="208"/>
      <c r="J4" s="226"/>
    </row>
    <row r="5" spans="1:10" customFormat="1" ht="14.4" x14ac:dyDescent="0.25">
      <c r="A5" s="16"/>
      <c r="B5" s="8" t="s">
        <v>6</v>
      </c>
      <c r="C5" s="203" t="str">
        <f>'Document Control'!C5</f>
        <v>Policy Info</v>
      </c>
      <c r="D5" s="226"/>
      <c r="E5" s="199" t="s">
        <v>8</v>
      </c>
      <c r="F5" s="199"/>
      <c r="G5" s="210" t="str">
        <f>'Document Control'!G5</f>
        <v>Not Started</v>
      </c>
      <c r="H5" s="208"/>
      <c r="I5" s="208"/>
      <c r="J5" s="226"/>
    </row>
    <row r="6" spans="1:10" customFormat="1" ht="14.4" x14ac:dyDescent="0.25">
      <c r="A6" s="16"/>
      <c r="B6" s="8" t="s">
        <v>10</v>
      </c>
      <c r="C6" s="203" t="str">
        <f>'Document Control'!C6</f>
        <v>QuoteApplication</v>
      </c>
      <c r="D6" s="226"/>
      <c r="E6" s="199" t="s">
        <v>12</v>
      </c>
      <c r="F6" s="199"/>
      <c r="G6" s="197" t="str">
        <f>'Document Control'!G6</f>
        <v>10900-GW.2</v>
      </c>
      <c r="H6" s="223"/>
      <c r="I6" s="223"/>
      <c r="J6" s="226"/>
    </row>
    <row r="7" spans="1:10" customFormat="1" ht="14.4" x14ac:dyDescent="0.25">
      <c r="A7" s="16"/>
      <c r="B7" s="8" t="str">
        <f>'Document Control'!B7</f>
        <v>Gap Business Value</v>
      </c>
      <c r="C7" s="203" t="str">
        <f>'Document Control'!C7</f>
        <v>3 - Significant Value</v>
      </c>
      <c r="D7" s="226"/>
      <c r="E7" s="199" t="s">
        <v>16</v>
      </c>
      <c r="F7" s="199"/>
      <c r="G7" s="210" t="str">
        <f>'Document Control'!G7</f>
        <v>4 - Full Product Alignment</v>
      </c>
      <c r="H7" s="208"/>
      <c r="I7" s="208"/>
      <c r="J7" s="226"/>
    </row>
    <row r="8" spans="1:10" customFormat="1" ht="15" customHeight="1" x14ac:dyDescent="0.25">
      <c r="A8" s="16"/>
      <c r="B8" s="8" t="s">
        <v>18</v>
      </c>
      <c r="C8" s="203" t="str">
        <f>'Document Control'!C8</f>
        <v>Project</v>
      </c>
      <c r="D8" s="226"/>
      <c r="E8" s="199" t="s">
        <v>20</v>
      </c>
      <c r="F8" s="199"/>
      <c r="G8" s="197" t="str">
        <f>'Document Control'!G8</f>
        <v>1. Critical</v>
      </c>
      <c r="H8" s="223"/>
      <c r="I8" s="223"/>
      <c r="J8" s="226"/>
    </row>
    <row r="9" spans="1:10" customFormat="1" ht="15" customHeight="1" x14ac:dyDescent="0.25">
      <c r="A9" s="16"/>
      <c r="B9" s="8" t="s">
        <v>22</v>
      </c>
      <c r="C9" s="203">
        <f>'Document Control'!C9</f>
        <v>0</v>
      </c>
      <c r="D9" s="226"/>
      <c r="E9" s="199" t="s">
        <v>23</v>
      </c>
      <c r="F9" s="199"/>
      <c r="G9" s="210">
        <f>'Document Control'!G9</f>
        <v>0</v>
      </c>
      <c r="H9" s="208"/>
      <c r="I9" s="208"/>
      <c r="J9" s="226"/>
    </row>
    <row r="10" spans="1:10" customFormat="1" ht="15" customHeight="1" x14ac:dyDescent="0.25">
      <c r="A10" s="16"/>
      <c r="B10" s="8"/>
      <c r="C10" s="203" t="str">
        <f>'Document Control'!C10</f>
        <v xml:space="preserve"> </v>
      </c>
      <c r="D10" s="226"/>
      <c r="E10" s="199" t="s">
        <v>25</v>
      </c>
      <c r="F10" s="199"/>
      <c r="G10" s="210" t="str">
        <f>'Document Control'!G10</f>
        <v>FUN_Standard</v>
      </c>
      <c r="H10" s="208"/>
      <c r="I10" s="208"/>
      <c r="J10" s="226"/>
    </row>
    <row r="11" spans="1:10" customFormat="1" ht="15" customHeight="1" x14ac:dyDescent="0.25">
      <c r="A11" s="16"/>
      <c r="B11" s="8"/>
      <c r="C11" s="203" t="str">
        <f>'Document Control'!C11</f>
        <v xml:space="preserve"> </v>
      </c>
      <c r="D11" s="226"/>
      <c r="E11" s="199" t="s">
        <v>27</v>
      </c>
      <c r="F11" s="199"/>
      <c r="G11" s="197">
        <f>'Document Control'!G11</f>
        <v>8</v>
      </c>
      <c r="H11" s="223"/>
      <c r="I11" s="223"/>
      <c r="J11" s="226"/>
    </row>
    <row r="12" spans="1:10" customFormat="1" ht="15" customHeight="1" x14ac:dyDescent="0.25">
      <c r="A12" s="16"/>
      <c r="B12" s="8" t="s">
        <v>28</v>
      </c>
      <c r="C12" s="203">
        <f>'Document Control'!C12</f>
        <v>0</v>
      </c>
      <c r="D12" s="226"/>
      <c r="E12" s="199" t="s">
        <v>29</v>
      </c>
      <c r="F12" s="199"/>
      <c r="G12" s="197">
        <f>'Document Control'!G12</f>
        <v>0</v>
      </c>
      <c r="H12" s="223"/>
      <c r="I12" s="223"/>
      <c r="J12" s="226"/>
    </row>
    <row r="13" spans="1:10" customFormat="1" ht="14.4" x14ac:dyDescent="0.25">
      <c r="A13" s="16"/>
      <c r="B13" s="34"/>
      <c r="C13" s="34"/>
      <c r="D13" s="35"/>
      <c r="E13" s="33"/>
      <c r="F13" s="36"/>
      <c r="G13" s="36"/>
      <c r="H13" s="36"/>
      <c r="I13" s="36"/>
    </row>
    <row r="14" spans="1:10" s="10" customFormat="1" ht="28.5" customHeight="1" x14ac:dyDescent="0.25">
      <c r="A14" s="233" t="s">
        <v>485</v>
      </c>
      <c r="B14" s="234"/>
      <c r="C14" s="234"/>
      <c r="D14" s="234"/>
      <c r="E14" s="234"/>
      <c r="F14" s="234"/>
      <c r="G14" s="234"/>
      <c r="H14" s="234"/>
      <c r="I14" s="234"/>
      <c r="J14" s="247"/>
    </row>
    <row r="15" spans="1:10" s="40" customFormat="1" ht="16.5" customHeight="1" x14ac:dyDescent="0.3">
      <c r="A15" s="46"/>
      <c r="B15" s="46" t="s">
        <v>486</v>
      </c>
      <c r="C15" s="46" t="s">
        <v>487</v>
      </c>
      <c r="D15" s="46" t="s">
        <v>488</v>
      </c>
      <c r="E15" s="46" t="s">
        <v>489</v>
      </c>
      <c r="F15" s="46" t="s">
        <v>8</v>
      </c>
      <c r="G15" s="46" t="s">
        <v>490</v>
      </c>
      <c r="H15" s="46" t="s">
        <v>491</v>
      </c>
      <c r="I15" s="162" t="s">
        <v>492</v>
      </c>
      <c r="J15" s="46" t="s">
        <v>467</v>
      </c>
    </row>
    <row r="16" spans="1:10" ht="12.75" customHeight="1" x14ac:dyDescent="0.25">
      <c r="A16" s="60"/>
      <c r="B16" s="137"/>
      <c r="C16" s="137"/>
      <c r="D16" s="137"/>
      <c r="E16" s="137"/>
      <c r="F16" s="137"/>
      <c r="G16" s="159"/>
      <c r="H16" s="159"/>
      <c r="I16" s="137"/>
      <c r="J16" s="137"/>
    </row>
    <row r="17" spans="1:10" ht="12.75" customHeight="1" x14ac:dyDescent="0.25">
      <c r="A17" s="4"/>
      <c r="B17" s="137"/>
      <c r="C17" s="137"/>
      <c r="D17" s="137"/>
      <c r="E17" s="137"/>
      <c r="F17" s="137"/>
      <c r="G17" s="159"/>
      <c r="H17" s="159"/>
      <c r="I17" s="137"/>
      <c r="J17" s="137"/>
    </row>
    <row r="18" spans="1:10" ht="12.75" customHeight="1" x14ac:dyDescent="0.25">
      <c r="A18" s="4"/>
      <c r="B18" s="137"/>
      <c r="C18" s="137"/>
      <c r="D18" s="137"/>
      <c r="E18" s="137"/>
      <c r="F18" s="137"/>
      <c r="G18" s="158"/>
      <c r="H18" s="158"/>
      <c r="I18" s="137"/>
      <c r="J18" s="137"/>
    </row>
    <row r="19" spans="1:10" ht="12.75" customHeight="1" x14ac:dyDescent="0.25">
      <c r="A19" s="52"/>
      <c r="B19" s="137"/>
      <c r="C19" s="137"/>
      <c r="D19" s="137"/>
      <c r="E19" s="137"/>
      <c r="F19" s="137"/>
      <c r="G19" s="158"/>
      <c r="H19" s="158"/>
      <c r="I19" s="137"/>
      <c r="J19" s="137"/>
    </row>
    <row r="20" spans="1:10" ht="12.75" customHeight="1" x14ac:dyDescent="0.25">
      <c r="A20" s="4"/>
      <c r="B20" s="137"/>
      <c r="C20" s="137"/>
      <c r="D20" s="137"/>
      <c r="E20" s="137"/>
      <c r="F20" s="137"/>
      <c r="G20" s="158"/>
      <c r="H20" s="158"/>
      <c r="I20" s="137"/>
      <c r="J20" s="137"/>
    </row>
    <row r="21" spans="1:10" ht="12.75" customHeight="1" x14ac:dyDescent="0.25">
      <c r="A21" s="4"/>
      <c r="B21" s="137"/>
      <c r="C21" s="137"/>
      <c r="D21" s="137"/>
      <c r="E21" s="137"/>
      <c r="F21" s="137"/>
      <c r="G21" s="158"/>
      <c r="H21" s="158"/>
      <c r="I21" s="137"/>
      <c r="J21" s="137"/>
    </row>
    <row r="22" spans="1:10" ht="12.75" customHeight="1" x14ac:dyDescent="0.25">
      <c r="A22" s="4"/>
      <c r="B22" s="137"/>
      <c r="C22" s="137"/>
      <c r="D22" s="137"/>
      <c r="E22" s="137"/>
      <c r="F22" s="137"/>
      <c r="G22" s="158"/>
      <c r="H22" s="158"/>
      <c r="I22" s="137"/>
      <c r="J22" s="137"/>
    </row>
    <row r="23" spans="1:10" ht="12.75" customHeight="1" x14ac:dyDescent="0.25">
      <c r="A23" s="51"/>
      <c r="B23" s="137"/>
      <c r="C23" s="137"/>
      <c r="D23" s="137"/>
      <c r="E23" s="137"/>
      <c r="F23" s="137"/>
      <c r="G23" s="158"/>
      <c r="H23" s="158"/>
      <c r="I23" s="137"/>
      <c r="J23" s="137"/>
    </row>
    <row r="24" spans="1:10" ht="12.75" customHeight="1" x14ac:dyDescent="0.25">
      <c r="A24" s="53"/>
      <c r="B24" s="137"/>
      <c r="C24" s="137"/>
      <c r="D24" s="137"/>
      <c r="E24" s="137"/>
      <c r="F24" s="137"/>
      <c r="G24" s="158"/>
      <c r="H24" s="158"/>
      <c r="I24" s="137"/>
      <c r="J24" s="137"/>
    </row>
    <row r="25" spans="1:10" ht="12.75" customHeight="1" x14ac:dyDescent="0.25">
      <c r="A25" s="51"/>
      <c r="B25" s="137"/>
      <c r="C25" s="137"/>
      <c r="D25" s="137"/>
      <c r="E25" s="137"/>
      <c r="F25" s="137"/>
      <c r="G25" s="158"/>
      <c r="H25" s="158"/>
      <c r="I25" s="137"/>
      <c r="J25" s="137"/>
    </row>
    <row r="26" spans="1:10" ht="12.75" customHeight="1" x14ac:dyDescent="0.25">
      <c r="A26" s="51"/>
      <c r="B26" s="137"/>
      <c r="C26" s="137"/>
      <c r="D26" s="137"/>
      <c r="E26" s="137"/>
      <c r="F26" s="137"/>
      <c r="G26" s="158"/>
      <c r="H26" s="158"/>
      <c r="I26" s="137"/>
      <c r="J26" s="137"/>
    </row>
    <row r="27" spans="1:10" ht="12.75" customHeight="1" x14ac:dyDescent="0.25">
      <c r="A27" s="51"/>
      <c r="B27" s="137"/>
      <c r="C27" s="137"/>
      <c r="D27" s="137"/>
      <c r="E27" s="137"/>
      <c r="F27" s="137"/>
      <c r="G27" s="158"/>
      <c r="H27" s="158"/>
      <c r="I27" s="137"/>
      <c r="J27" s="137"/>
    </row>
    <row r="28" spans="1:10" ht="12.75" customHeight="1" x14ac:dyDescent="0.25">
      <c r="A28" s="51"/>
      <c r="B28" s="137"/>
      <c r="C28" s="137"/>
      <c r="D28" s="137"/>
      <c r="E28" s="137"/>
      <c r="F28" s="137"/>
      <c r="G28" s="158"/>
      <c r="H28" s="158"/>
      <c r="I28" s="137"/>
      <c r="J28" s="137"/>
    </row>
    <row r="29" spans="1:10" ht="12.75" customHeight="1" x14ac:dyDescent="0.25">
      <c r="A29" s="51"/>
      <c r="B29" s="137"/>
      <c r="C29" s="137"/>
      <c r="D29" s="137"/>
      <c r="E29" s="137"/>
      <c r="F29" s="137"/>
      <c r="G29" s="158"/>
      <c r="H29" s="158"/>
      <c r="I29" s="137"/>
      <c r="J29" s="137"/>
    </row>
    <row r="30" spans="1:10" ht="12.75" customHeight="1" x14ac:dyDescent="0.25">
      <c r="A30" s="51"/>
      <c r="B30" s="137"/>
      <c r="C30" s="137"/>
      <c r="D30" s="137"/>
      <c r="E30" s="137"/>
      <c r="F30" s="137"/>
      <c r="G30" s="158"/>
      <c r="H30" s="158"/>
      <c r="I30" s="137"/>
      <c r="J30" s="137"/>
    </row>
    <row r="31" spans="1:10" ht="12.75" customHeight="1" x14ac:dyDescent="0.25">
      <c r="A31" s="51"/>
      <c r="B31" s="137"/>
      <c r="C31" s="137"/>
      <c r="D31" s="137"/>
      <c r="E31" s="137"/>
      <c r="F31" s="137"/>
      <c r="G31" s="158"/>
      <c r="H31" s="158"/>
      <c r="I31" s="137"/>
      <c r="J31" s="137"/>
    </row>
    <row r="32" spans="1:10" ht="12.75" customHeight="1" x14ac:dyDescent="0.25">
      <c r="A32" s="51"/>
      <c r="B32" s="137"/>
      <c r="C32" s="137"/>
      <c r="D32" s="137"/>
      <c r="E32" s="137"/>
      <c r="F32" s="137"/>
      <c r="G32" s="158"/>
      <c r="H32" s="158"/>
      <c r="I32" s="137"/>
      <c r="J32" s="137"/>
    </row>
    <row r="33" spans="1:10" ht="12.75" customHeight="1" x14ac:dyDescent="0.25">
      <c r="A33" s="51"/>
      <c r="B33" s="137"/>
      <c r="C33" s="137"/>
      <c r="D33" s="137"/>
      <c r="E33" s="137"/>
      <c r="F33" s="137"/>
      <c r="G33" s="158"/>
      <c r="H33" s="158"/>
      <c r="I33" s="137"/>
      <c r="J33" s="137"/>
    </row>
    <row r="34" spans="1:10" ht="25.8" x14ac:dyDescent="0.25">
      <c r="A34" s="10"/>
      <c r="B34" s="11"/>
      <c r="C34" s="12"/>
      <c r="D34" s="13"/>
      <c r="E34" s="13"/>
      <c r="F34" s="13"/>
      <c r="G34" s="13"/>
      <c r="H34" s="13"/>
      <c r="I34" s="13"/>
    </row>
    <row r="35" spans="1:10" ht="14.4" x14ac:dyDescent="0.25">
      <c r="A35" s="40"/>
      <c r="B35" s="63"/>
      <c r="C35" s="38"/>
      <c r="D35" s="40"/>
      <c r="E35" s="40"/>
      <c r="F35" s="40"/>
      <c r="G35" s="40"/>
      <c r="H35" s="40"/>
      <c r="I35" s="40"/>
    </row>
    <row r="37" spans="1:10" ht="14.4" x14ac:dyDescent="0.3">
      <c r="B37" s="64"/>
      <c r="C37" s="235"/>
      <c r="D37" s="236"/>
      <c r="E37" s="237"/>
      <c r="F37" s="237"/>
      <c r="G37" s="238"/>
      <c r="H37" s="239"/>
      <c r="I37" s="239"/>
    </row>
    <row r="38" spans="1:10" ht="14.4" x14ac:dyDescent="0.3">
      <c r="B38" s="64"/>
      <c r="C38" s="235"/>
      <c r="D38" s="236"/>
      <c r="E38" s="237"/>
      <c r="F38" s="237"/>
      <c r="G38" s="240"/>
      <c r="H38" s="241"/>
      <c r="I38" s="241"/>
    </row>
    <row r="39" spans="1:10" ht="14.4" x14ac:dyDescent="0.25">
      <c r="B39" s="64"/>
      <c r="C39" s="240"/>
      <c r="D39" s="239"/>
      <c r="E39" s="237"/>
      <c r="F39" s="237"/>
      <c r="G39" s="240"/>
      <c r="H39" s="239"/>
      <c r="I39" s="239"/>
    </row>
    <row r="40" spans="1:10" ht="14.4" x14ac:dyDescent="0.25">
      <c r="B40" s="64"/>
      <c r="C40" s="240"/>
      <c r="D40" s="239"/>
      <c r="E40" s="237"/>
      <c r="F40" s="237"/>
      <c r="G40" s="240"/>
      <c r="H40" s="239"/>
      <c r="I40" s="239"/>
    </row>
    <row r="41" spans="1:10" ht="14.4" x14ac:dyDescent="0.25">
      <c r="B41" s="64"/>
      <c r="C41" s="240"/>
      <c r="D41" s="239"/>
      <c r="E41" s="237"/>
      <c r="F41" s="237"/>
      <c r="G41" s="240"/>
      <c r="H41" s="239"/>
      <c r="I41" s="239"/>
    </row>
    <row r="42" spans="1:10" ht="14.4" x14ac:dyDescent="0.25">
      <c r="B42" s="28"/>
      <c r="C42" s="29"/>
      <c r="D42" s="29"/>
      <c r="E42" s="29"/>
      <c r="F42" s="29"/>
      <c r="G42" s="29"/>
      <c r="H42" s="29"/>
      <c r="I42" s="29"/>
    </row>
    <row r="43" spans="1:10" ht="14.4" x14ac:dyDescent="0.25">
      <c r="B43" s="64"/>
      <c r="C43" s="235"/>
      <c r="D43" s="235"/>
      <c r="E43" s="235"/>
      <c r="F43" s="235"/>
      <c r="G43" s="235"/>
      <c r="H43" s="235"/>
      <c r="I43" s="235"/>
    </row>
    <row r="44" spans="1:10" ht="14.4" x14ac:dyDescent="0.25">
      <c r="B44" s="64"/>
      <c r="C44" s="235"/>
      <c r="D44" s="244"/>
      <c r="E44" s="244"/>
      <c r="F44" s="244"/>
      <c r="G44" s="244"/>
      <c r="H44" s="244"/>
      <c r="I44" s="244"/>
    </row>
    <row r="45" spans="1:10" ht="14.4" x14ac:dyDescent="0.25">
      <c r="B45" s="64"/>
      <c r="C45" s="235"/>
      <c r="D45" s="244"/>
      <c r="E45" s="244"/>
      <c r="F45" s="244"/>
      <c r="G45" s="244"/>
      <c r="H45" s="244"/>
      <c r="I45" s="244"/>
    </row>
    <row r="46" spans="1:10" ht="14.4" x14ac:dyDescent="0.25">
      <c r="B46" s="64"/>
      <c r="C46" s="235"/>
      <c r="D46" s="244"/>
      <c r="E46" s="244"/>
      <c r="F46" s="244"/>
      <c r="G46" s="244"/>
      <c r="H46" s="244"/>
      <c r="I46" s="244"/>
    </row>
    <row r="47" spans="1:10" ht="14.4" x14ac:dyDescent="0.25">
      <c r="B47" s="28"/>
      <c r="C47" s="29"/>
      <c r="D47" s="29"/>
      <c r="E47" s="29"/>
      <c r="F47" s="29"/>
      <c r="G47" s="29"/>
      <c r="H47" s="29"/>
      <c r="I47" s="29"/>
    </row>
    <row r="48" spans="1:10" ht="14.4" x14ac:dyDescent="0.25">
      <c r="B48" s="64"/>
      <c r="C48" s="235"/>
      <c r="D48" s="235"/>
      <c r="E48" s="235"/>
      <c r="F48" s="235"/>
      <c r="G48" s="235"/>
      <c r="H48" s="235"/>
      <c r="I48" s="235"/>
    </row>
    <row r="49" spans="2:9" ht="14.4" x14ac:dyDescent="0.25">
      <c r="B49" s="64"/>
      <c r="C49" s="235"/>
      <c r="D49" s="244"/>
      <c r="E49" s="244"/>
      <c r="F49" s="244"/>
      <c r="G49" s="244"/>
      <c r="H49" s="244"/>
      <c r="I49" s="244"/>
    </row>
    <row r="50" spans="2:9" ht="14.4" x14ac:dyDescent="0.25">
      <c r="B50" s="64"/>
      <c r="C50" s="235"/>
      <c r="D50" s="235"/>
      <c r="E50" s="235"/>
      <c r="F50" s="235"/>
      <c r="G50" s="235"/>
      <c r="H50" s="235"/>
      <c r="I50" s="235"/>
    </row>
    <row r="51" spans="2:9" ht="14.4" x14ac:dyDescent="0.25">
      <c r="B51" s="28"/>
      <c r="C51" s="29"/>
      <c r="D51" s="29"/>
      <c r="E51" s="29"/>
      <c r="F51" s="29"/>
      <c r="G51" s="29"/>
      <c r="H51" s="29"/>
      <c r="I51" s="29"/>
    </row>
    <row r="52" spans="2:9" ht="14.4" x14ac:dyDescent="0.25">
      <c r="B52" s="28"/>
      <c r="C52" s="29"/>
      <c r="D52" s="29"/>
      <c r="E52" s="29"/>
      <c r="F52" s="29"/>
      <c r="G52" s="29"/>
      <c r="H52" s="29"/>
      <c r="I52" s="29"/>
    </row>
    <row r="53" spans="2:9" ht="14.4" x14ac:dyDescent="0.25">
      <c r="B53" s="245"/>
      <c r="C53" s="245"/>
      <c r="D53" s="245"/>
      <c r="E53" s="245"/>
      <c r="F53" s="245"/>
      <c r="G53" s="245"/>
      <c r="H53" s="245"/>
      <c r="I53" s="245"/>
    </row>
    <row r="54" spans="2:9" ht="14.4" x14ac:dyDescent="0.25">
      <c r="B54" s="65"/>
      <c r="C54" s="242"/>
      <c r="D54" s="242"/>
      <c r="E54" s="242"/>
      <c r="F54" s="242"/>
      <c r="G54" s="243"/>
      <c r="H54" s="243"/>
      <c r="I54" s="65"/>
    </row>
    <row r="55" spans="2:9" ht="14.4" x14ac:dyDescent="0.25">
      <c r="B55" s="66"/>
      <c r="C55" s="238"/>
      <c r="D55" s="238"/>
      <c r="E55" s="238"/>
      <c r="F55" s="238"/>
      <c r="G55" s="235"/>
      <c r="H55" s="235"/>
      <c r="I55" s="67"/>
    </row>
    <row r="56" spans="2:9" ht="14.4" x14ac:dyDescent="0.25">
      <c r="B56" s="66"/>
      <c r="C56" s="238"/>
      <c r="D56" s="238"/>
      <c r="E56" s="238"/>
      <c r="F56" s="238"/>
      <c r="G56" s="235"/>
      <c r="H56" s="235"/>
      <c r="I56" s="67"/>
    </row>
    <row r="57" spans="2:9" ht="14.4" x14ac:dyDescent="0.25">
      <c r="B57" s="66"/>
      <c r="C57" s="246"/>
      <c r="D57" s="246"/>
      <c r="E57" s="246"/>
      <c r="F57" s="246"/>
      <c r="G57" s="235"/>
      <c r="H57" s="235"/>
      <c r="I57" s="67"/>
    </row>
    <row r="58" spans="2:9" ht="14.4" x14ac:dyDescent="0.25">
      <c r="B58" s="66"/>
      <c r="C58" s="240"/>
      <c r="D58" s="240"/>
      <c r="E58" s="240"/>
      <c r="F58" s="240"/>
      <c r="G58" s="235"/>
      <c r="H58" s="235"/>
      <c r="I58" s="67"/>
    </row>
    <row r="59" spans="2:9" ht="14.4" x14ac:dyDescent="0.25">
      <c r="B59" s="66"/>
      <c r="C59" s="240"/>
      <c r="D59" s="240"/>
      <c r="E59" s="240"/>
      <c r="F59" s="240"/>
      <c r="G59" s="235"/>
      <c r="H59" s="235"/>
      <c r="I59" s="67"/>
    </row>
    <row r="60" spans="2:9" ht="14.4" x14ac:dyDescent="0.25">
      <c r="B60" s="66"/>
      <c r="C60" s="240"/>
      <c r="D60" s="240"/>
      <c r="E60" s="240"/>
      <c r="F60" s="240"/>
      <c r="G60" s="235"/>
      <c r="H60" s="235"/>
      <c r="I60" s="67"/>
    </row>
    <row r="61" spans="2:9" ht="14.4" x14ac:dyDescent="0.25">
      <c r="B61" s="30"/>
      <c r="C61" s="30"/>
      <c r="D61" s="30"/>
      <c r="E61" s="30"/>
      <c r="F61" s="30"/>
      <c r="G61" s="31"/>
      <c r="H61" s="30"/>
      <c r="I61" s="30"/>
    </row>
    <row r="62" spans="2:9" x14ac:dyDescent="0.25">
      <c r="G62" s="24"/>
    </row>
    <row r="63" spans="2:9" x14ac:dyDescent="0.25">
      <c r="G63" s="24"/>
    </row>
    <row r="64" spans="2:9" x14ac:dyDescent="0.25">
      <c r="G64" s="24"/>
    </row>
    <row r="65" spans="7:7" x14ac:dyDescent="0.25">
      <c r="G65" s="24"/>
    </row>
    <row r="66" spans="7:7" x14ac:dyDescent="0.25">
      <c r="G66" s="24"/>
    </row>
    <row r="67" spans="7:7" x14ac:dyDescent="0.25">
      <c r="G67" s="24"/>
    </row>
    <row r="68" spans="7:7" x14ac:dyDescent="0.25">
      <c r="G68" s="24"/>
    </row>
    <row r="69" spans="7:7" x14ac:dyDescent="0.25">
      <c r="G69" s="24"/>
    </row>
    <row r="70" spans="7:7" x14ac:dyDescent="0.25">
      <c r="G70" s="24"/>
    </row>
    <row r="71" spans="7:7" x14ac:dyDescent="0.25">
      <c r="G71" s="24"/>
    </row>
    <row r="72" spans="7:7" x14ac:dyDescent="0.25">
      <c r="G72" s="24"/>
    </row>
    <row r="73" spans="7:7" x14ac:dyDescent="0.25">
      <c r="G73" s="24"/>
    </row>
  </sheetData>
  <mergeCells count="65">
    <mergeCell ref="G11:J11"/>
    <mergeCell ref="G12:J12"/>
    <mergeCell ref="E11:F11"/>
    <mergeCell ref="A14:J14"/>
    <mergeCell ref="G7:J7"/>
    <mergeCell ref="G8:J8"/>
    <mergeCell ref="C9:D9"/>
    <mergeCell ref="E9:F9"/>
    <mergeCell ref="C10:D10"/>
    <mergeCell ref="E10:F10"/>
    <mergeCell ref="C11:D11"/>
    <mergeCell ref="C12:D12"/>
    <mergeCell ref="E12:F12"/>
    <mergeCell ref="C8:D8"/>
    <mergeCell ref="E8:F8"/>
    <mergeCell ref="C7:D7"/>
    <mergeCell ref="E7:F7"/>
    <mergeCell ref="G9:J9"/>
    <mergeCell ref="G10:J10"/>
    <mergeCell ref="C4:D4"/>
    <mergeCell ref="C5:D5"/>
    <mergeCell ref="C6:D6"/>
    <mergeCell ref="G4:J4"/>
    <mergeCell ref="G5:J5"/>
    <mergeCell ref="G6:J6"/>
    <mergeCell ref="E4:F4"/>
    <mergeCell ref="E5:F5"/>
    <mergeCell ref="E6:F6"/>
    <mergeCell ref="C58:F58"/>
    <mergeCell ref="G58:H58"/>
    <mergeCell ref="C59:F59"/>
    <mergeCell ref="G59:H59"/>
    <mergeCell ref="C60:F60"/>
    <mergeCell ref="G60:H60"/>
    <mergeCell ref="C55:F55"/>
    <mergeCell ref="G55:H55"/>
    <mergeCell ref="C56:F56"/>
    <mergeCell ref="G56:H56"/>
    <mergeCell ref="C57:F57"/>
    <mergeCell ref="G57:H57"/>
    <mergeCell ref="C54:F54"/>
    <mergeCell ref="G54:H54"/>
    <mergeCell ref="C41:D41"/>
    <mergeCell ref="E41:F41"/>
    <mergeCell ref="G41:I41"/>
    <mergeCell ref="C43:I43"/>
    <mergeCell ref="C44:I44"/>
    <mergeCell ref="C45:I45"/>
    <mergeCell ref="C46:I46"/>
    <mergeCell ref="C48:I48"/>
    <mergeCell ref="C49:I49"/>
    <mergeCell ref="C50:I50"/>
    <mergeCell ref="B53:I53"/>
    <mergeCell ref="C39:D39"/>
    <mergeCell ref="E39:F39"/>
    <mergeCell ref="G39:I39"/>
    <mergeCell ref="C40:D40"/>
    <mergeCell ref="E40:F40"/>
    <mergeCell ref="G40:I40"/>
    <mergeCell ref="C37:D37"/>
    <mergeCell ref="E37:F37"/>
    <mergeCell ref="G37:I37"/>
    <mergeCell ref="C38:D38"/>
    <mergeCell ref="E38:F38"/>
    <mergeCell ref="G38:I38"/>
  </mergeCells>
  <dataValidations count="1">
    <dataValidation type="list" allowBlank="1" showInputMessage="1" showErrorMessage="1" sqref="E14:H14 F16:F33" xr:uid="{00000000-0002-0000-0500-000000000000}">
      <formula1>"New, In Progress, Completed, Delayed"</formula1>
    </dataValidation>
  </dataValidations>
  <pageMargins left="0.28999999999999998" right="0.24" top="0.56000000000000005" bottom="0.49" header="0.24" footer="0.24"/>
  <pageSetup paperSize="9" scale="63" orientation="landscape" r:id="rId1"/>
  <headerFooter alignWithMargins="0">
    <oddHeader>&amp;C&amp;F&amp;R&amp;A</oddHeader>
    <oddFooter>&amp;L&amp;"Arial,Bold Italic"&amp;8Commercial in Confidence
&amp;"Arial,Regular"&amp;Z&amp;F&amp;R&amp;8Page: &amp;P of &amp;N</oddFooter>
  </headerFooter>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1000000}">
          <x14:formula1>
            <xm:f>'Dropdown Lists'!$I$2:$I$6</xm:f>
          </x14:formula1>
          <xm:sqref>G41:I41</xm:sqref>
        </x14:dataValidation>
        <x14:dataValidation type="list" allowBlank="1" showInputMessage="1" showErrorMessage="1" xr:uid="{00000000-0002-0000-0500-000002000000}">
          <x14:formula1>
            <xm:f>'Dropdown Lists'!$A$2:$A$6</xm:f>
          </x14:formula1>
          <xm:sqref>C37:D37</xm:sqref>
        </x14:dataValidation>
        <x14:dataValidation type="list" allowBlank="1" showInputMessage="1" showErrorMessage="1" xr:uid="{00000000-0002-0000-0500-000003000000}">
          <x14:formula1>
            <xm:f>'Dropdown Lists'!$C$2:$C$4</xm:f>
          </x14:formula1>
          <xm:sqref>G38:I38</xm:sqref>
        </x14:dataValidation>
        <x14:dataValidation type="list" allowBlank="1" showInputMessage="1" showErrorMessage="1" xr:uid="{00000000-0002-0000-0500-000004000000}">
          <x14:formula1>
            <xm:f>'Dropdown Lists'!$G$2:$G$5</xm:f>
          </x14:formula1>
          <xm:sqref>F15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3F8E39"/>
    <pageSetUpPr fitToPage="1"/>
  </sheetPr>
  <dimension ref="A1:Z40"/>
  <sheetViews>
    <sheetView showGridLines="0" zoomScaleNormal="100" workbookViewId="0">
      <pane ySplit="8" topLeftCell="A9" activePane="bottomLeft" state="frozen"/>
      <selection pane="bottomLeft" activeCell="B19" sqref="B19"/>
    </sheetView>
  </sheetViews>
  <sheetFormatPr defaultColWidth="9.33203125" defaultRowHeight="13.8" x14ac:dyDescent="0.3"/>
  <cols>
    <col min="1" max="1" width="0.6640625" style="5" customWidth="1"/>
    <col min="2" max="2" width="38.44140625" style="5" customWidth="1"/>
    <col min="3" max="3" width="53.6640625" style="6" customWidth="1"/>
    <col min="4" max="5" width="20.6640625" style="5" customWidth="1"/>
    <col min="6" max="6" width="52.33203125" style="5" customWidth="1"/>
    <col min="7" max="7" width="10.5546875" style="5" customWidth="1"/>
    <col min="8" max="16384" width="9.33203125" style="5"/>
  </cols>
  <sheetData>
    <row r="1" spans="1:26" s="10" customFormat="1" ht="28.5" customHeight="1" x14ac:dyDescent="0.25">
      <c r="B1" s="11" t="s">
        <v>493</v>
      </c>
      <c r="C1" s="12"/>
      <c r="D1" s="13"/>
      <c r="E1" s="13"/>
      <c r="F1" s="13"/>
      <c r="G1" s="13"/>
      <c r="H1" s="13"/>
      <c r="I1" s="13"/>
      <c r="J1" s="13"/>
    </row>
    <row r="2" spans="1:26" s="40" customFormat="1" ht="16.5" customHeight="1" x14ac:dyDescent="0.25">
      <c r="B2" s="42" t="s">
        <v>494</v>
      </c>
      <c r="C2" s="38"/>
      <c r="D2" s="39"/>
      <c r="E2" s="39"/>
      <c r="F2" s="39"/>
      <c r="G2" s="39"/>
      <c r="H2" s="39"/>
      <c r="I2" s="39"/>
      <c r="J2" s="39"/>
    </row>
    <row r="3" spans="1:26" s="14" customFormat="1" ht="17.25" customHeight="1" x14ac:dyDescent="0.25"/>
    <row r="4" spans="1:26" ht="14.4" x14ac:dyDescent="0.3">
      <c r="B4" s="8" t="s">
        <v>2</v>
      </c>
      <c r="C4" s="93" t="str">
        <f>'Document Control'!C4</f>
        <v>PC</v>
      </c>
      <c r="D4" s="199" t="s">
        <v>4</v>
      </c>
      <c r="E4" s="199"/>
      <c r="F4" s="95" t="str">
        <f>'Document Control'!G4</f>
        <v>US444</v>
      </c>
    </row>
    <row r="5" spans="1:26" ht="14.4" x14ac:dyDescent="0.3">
      <c r="B5" s="8" t="s">
        <v>6</v>
      </c>
      <c r="C5" s="93" t="str">
        <f>'Document Control'!C5</f>
        <v>Policy Info</v>
      </c>
      <c r="D5" s="199" t="s">
        <v>8</v>
      </c>
      <c r="E5" s="199"/>
      <c r="F5" s="95" t="str">
        <f>'Document Control'!G5</f>
        <v>Not Started</v>
      </c>
    </row>
    <row r="6" spans="1:26" ht="14.4" x14ac:dyDescent="0.3">
      <c r="B6" s="8" t="s">
        <v>10</v>
      </c>
      <c r="C6" s="93" t="str">
        <f>'Document Control'!C6</f>
        <v>QuoteApplication</v>
      </c>
      <c r="D6" s="199" t="s">
        <v>12</v>
      </c>
      <c r="E6" s="199"/>
      <c r="F6" s="95" t="str">
        <f>'Document Control'!G6</f>
        <v>10900-GW.2</v>
      </c>
    </row>
    <row r="7" spans="1:26" s="14" customFormat="1" ht="14.4" x14ac:dyDescent="0.25">
      <c r="A7" s="16"/>
      <c r="B7" s="8" t="str">
        <f>'Document Control'!B7</f>
        <v>Gap Business Value</v>
      </c>
      <c r="C7" s="93" t="str">
        <f>'Document Control'!C7</f>
        <v>3 - Significant Value</v>
      </c>
      <c r="D7" s="199" t="s">
        <v>16</v>
      </c>
      <c r="E7" s="199"/>
      <c r="F7" s="95" t="str">
        <f>'Document Control'!G7</f>
        <v>4 - Full Product Alignment</v>
      </c>
      <c r="G7" s="1"/>
      <c r="J7" s="16"/>
      <c r="K7" s="16"/>
      <c r="L7" s="16"/>
      <c r="M7" s="16"/>
      <c r="N7" s="16"/>
      <c r="O7" s="16"/>
      <c r="P7" s="16"/>
      <c r="Q7" s="16"/>
      <c r="R7" s="16"/>
      <c r="S7" s="16"/>
      <c r="T7" s="16"/>
      <c r="U7" s="16"/>
      <c r="V7" s="16"/>
      <c r="W7" s="16"/>
      <c r="X7" s="16"/>
      <c r="Y7" s="16"/>
      <c r="Z7" s="16"/>
    </row>
    <row r="8" spans="1:26" ht="14.4" x14ac:dyDescent="0.3">
      <c r="B8" s="8" t="s">
        <v>18</v>
      </c>
      <c r="C8" s="93" t="str">
        <f>'Document Control'!C8</f>
        <v>Project</v>
      </c>
      <c r="D8" s="199" t="s">
        <v>20</v>
      </c>
      <c r="E8" s="199"/>
      <c r="F8" s="95" t="str">
        <f>'Document Control'!G8</f>
        <v>1. Critical</v>
      </c>
    </row>
    <row r="9" spans="1:26" ht="14.4" x14ac:dyDescent="0.3">
      <c r="B9" s="8" t="s">
        <v>22</v>
      </c>
      <c r="C9" s="93">
        <f>'Document Control'!C9</f>
        <v>0</v>
      </c>
      <c r="D9" s="199" t="s">
        <v>23</v>
      </c>
      <c r="E9" s="199"/>
      <c r="F9" s="95">
        <f>'Document Control'!G9</f>
        <v>0</v>
      </c>
    </row>
    <row r="10" spans="1:26" ht="14.4" x14ac:dyDescent="0.3">
      <c r="B10" s="8"/>
      <c r="C10" s="93" t="str">
        <f>'Document Control'!C10</f>
        <v xml:space="preserve"> </v>
      </c>
      <c r="D10" s="199" t="s">
        <v>25</v>
      </c>
      <c r="E10" s="199"/>
      <c r="F10" s="95" t="str">
        <f>'Document Control'!G10</f>
        <v>FUN_Standard</v>
      </c>
    </row>
    <row r="11" spans="1:26" ht="14.4" x14ac:dyDescent="0.3">
      <c r="B11" s="8"/>
      <c r="C11" s="93" t="str">
        <f>'Document Control'!C11</f>
        <v xml:space="preserve"> </v>
      </c>
      <c r="D11" s="199" t="s">
        <v>27</v>
      </c>
      <c r="E11" s="199"/>
      <c r="F11" s="95">
        <f>'Document Control'!G11</f>
        <v>8</v>
      </c>
    </row>
    <row r="12" spans="1:26" ht="14.4" x14ac:dyDescent="0.3">
      <c r="B12" s="8" t="s">
        <v>28</v>
      </c>
      <c r="C12" s="93">
        <f>'Document Control'!C12</f>
        <v>0</v>
      </c>
      <c r="D12" s="199" t="s">
        <v>29</v>
      </c>
      <c r="E12" s="199"/>
      <c r="F12" s="95">
        <f>'Document Control'!G12</f>
        <v>0</v>
      </c>
    </row>
    <row r="13" spans="1:26" x14ac:dyDescent="0.3">
      <c r="C13" s="70"/>
    </row>
    <row r="14" spans="1:26" s="3" customFormat="1" ht="45.75" customHeight="1" x14ac:dyDescent="0.25">
      <c r="B14" s="88" t="s">
        <v>495</v>
      </c>
      <c r="C14" s="47"/>
      <c r="D14" s="49"/>
      <c r="E14" s="50"/>
      <c r="G14" s="48"/>
    </row>
    <row r="17" spans="2:7" ht="14.4" x14ac:dyDescent="0.3">
      <c r="B17" s="254" t="s">
        <v>496</v>
      </c>
      <c r="C17" s="255"/>
      <c r="D17" s="255"/>
      <c r="E17" s="255"/>
      <c r="F17" s="255"/>
      <c r="G17" s="255"/>
    </row>
    <row r="18" spans="2:7" ht="12.75" customHeight="1" x14ac:dyDescent="0.3">
      <c r="B18" s="54" t="s">
        <v>60</v>
      </c>
      <c r="C18" s="54" t="s">
        <v>497</v>
      </c>
      <c r="D18" s="54" t="s">
        <v>498</v>
      </c>
      <c r="E18" s="54" t="s">
        <v>499</v>
      </c>
      <c r="F18" s="54" t="s">
        <v>80</v>
      </c>
      <c r="G18" s="54" t="s">
        <v>47</v>
      </c>
    </row>
    <row r="19" spans="2:7" ht="14.4" x14ac:dyDescent="0.3">
      <c r="B19" s="125"/>
      <c r="C19" s="137"/>
      <c r="D19" s="137"/>
      <c r="E19" s="55"/>
      <c r="F19" s="145"/>
      <c r="G19" s="146"/>
    </row>
    <row r="20" spans="2:7" ht="14.4" x14ac:dyDescent="0.3">
      <c r="B20" s="125"/>
      <c r="C20" s="137"/>
      <c r="D20" s="137"/>
      <c r="E20" s="55"/>
      <c r="F20" s="145"/>
      <c r="G20" s="146"/>
    </row>
    <row r="21" spans="2:7" ht="14.4" x14ac:dyDescent="0.3">
      <c r="B21" s="163"/>
      <c r="C21" s="137"/>
      <c r="D21" s="137"/>
      <c r="E21" s="55"/>
      <c r="F21" s="145"/>
      <c r="G21" s="146"/>
    </row>
    <row r="22" spans="2:7" x14ac:dyDescent="0.3">
      <c r="B22" s="137"/>
      <c r="C22" s="137"/>
      <c r="D22" s="137"/>
      <c r="E22" s="55"/>
      <c r="F22" s="145"/>
      <c r="G22" s="146"/>
    </row>
    <row r="23" spans="2:7" x14ac:dyDescent="0.3">
      <c r="B23" s="137"/>
      <c r="C23" s="137"/>
      <c r="D23" s="137"/>
      <c r="E23" s="55"/>
      <c r="F23" s="145"/>
      <c r="G23" s="146"/>
    </row>
    <row r="24" spans="2:7" ht="14.4" x14ac:dyDescent="0.3">
      <c r="B24" s="125"/>
      <c r="C24" s="137"/>
      <c r="D24" s="137"/>
      <c r="E24" s="55"/>
      <c r="F24" s="145"/>
      <c r="G24" s="146"/>
    </row>
    <row r="25" spans="2:7" x14ac:dyDescent="0.3">
      <c r="B25" s="22"/>
      <c r="C25" s="22"/>
      <c r="D25" s="22"/>
      <c r="E25" s="55"/>
      <c r="F25" s="21"/>
      <c r="G25" s="22"/>
    </row>
    <row r="26" spans="2:7" x14ac:dyDescent="0.3">
      <c r="B26" s="22"/>
      <c r="C26" s="22"/>
      <c r="D26" s="22"/>
      <c r="E26" s="55"/>
      <c r="F26" s="21"/>
      <c r="G26" s="22"/>
    </row>
    <row r="27" spans="2:7" x14ac:dyDescent="0.3">
      <c r="B27" s="22"/>
      <c r="C27" s="22"/>
      <c r="D27" s="22"/>
      <c r="E27" s="55"/>
      <c r="F27" s="21"/>
      <c r="G27" s="22"/>
    </row>
    <row r="28" spans="2:7" x14ac:dyDescent="0.3">
      <c r="B28" s="22"/>
      <c r="C28" s="22"/>
      <c r="D28" s="22"/>
      <c r="E28" s="55"/>
      <c r="F28" s="21"/>
      <c r="G28" s="22"/>
    </row>
    <row r="29" spans="2:7" x14ac:dyDescent="0.3">
      <c r="B29" s="22"/>
      <c r="C29" s="22"/>
      <c r="D29" s="22"/>
      <c r="E29" s="55"/>
      <c r="F29" s="21"/>
      <c r="G29" s="22"/>
    </row>
    <row r="30" spans="2:7" x14ac:dyDescent="0.3">
      <c r="B30" s="22"/>
      <c r="C30" s="22"/>
      <c r="D30" s="22"/>
      <c r="E30" s="55"/>
      <c r="F30" s="21"/>
      <c r="G30" s="22"/>
    </row>
    <row r="31" spans="2:7" x14ac:dyDescent="0.3">
      <c r="B31" s="22"/>
      <c r="C31" s="22"/>
      <c r="D31" s="22"/>
      <c r="E31" s="55"/>
      <c r="F31" s="21"/>
      <c r="G31" s="22"/>
    </row>
    <row r="32" spans="2:7" x14ac:dyDescent="0.3">
      <c r="B32" s="22"/>
      <c r="C32" s="22"/>
      <c r="D32" s="22"/>
      <c r="E32" s="55"/>
      <c r="F32" s="21"/>
      <c r="G32" s="22"/>
    </row>
    <row r="33" spans="2:7" x14ac:dyDescent="0.3">
      <c r="B33" s="22"/>
      <c r="C33" s="22"/>
      <c r="D33" s="22"/>
      <c r="E33" s="55"/>
      <c r="F33" s="21"/>
      <c r="G33" s="22"/>
    </row>
    <row r="34" spans="2:7" x14ac:dyDescent="0.3">
      <c r="B34" s="22"/>
      <c r="C34" s="22"/>
      <c r="D34" s="22"/>
      <c r="E34" s="55"/>
      <c r="F34" s="21"/>
      <c r="G34" s="22"/>
    </row>
    <row r="35" spans="2:7" x14ac:dyDescent="0.3">
      <c r="B35" s="22"/>
      <c r="C35" s="22"/>
      <c r="D35" s="22"/>
      <c r="E35" s="55"/>
      <c r="F35" s="21"/>
      <c r="G35" s="22"/>
    </row>
    <row r="37" spans="2:7" ht="14.4" x14ac:dyDescent="0.3">
      <c r="B37" s="248" t="s">
        <v>500</v>
      </c>
      <c r="C37" s="249"/>
      <c r="D37" s="249"/>
      <c r="E37" s="249"/>
      <c r="F37" s="249"/>
    </row>
    <row r="38" spans="2:7" ht="12.75" customHeight="1" x14ac:dyDescent="0.3">
      <c r="B38" s="54" t="s">
        <v>501</v>
      </c>
      <c r="C38" s="250" t="s">
        <v>502</v>
      </c>
      <c r="D38" s="251"/>
      <c r="E38" s="252"/>
      <c r="F38" s="54" t="s">
        <v>503</v>
      </c>
    </row>
    <row r="39" spans="2:7" x14ac:dyDescent="0.3">
      <c r="B39" s="22"/>
      <c r="C39" s="253"/>
      <c r="D39" s="223"/>
      <c r="E39" s="224"/>
      <c r="F39" s="22"/>
    </row>
    <row r="40" spans="2:7" x14ac:dyDescent="0.3">
      <c r="B40" s="22"/>
      <c r="C40" s="253"/>
      <c r="D40" s="223"/>
      <c r="E40" s="224"/>
      <c r="F40" s="22"/>
    </row>
  </sheetData>
  <mergeCells count="14">
    <mergeCell ref="B37:F37"/>
    <mergeCell ref="C38:E38"/>
    <mergeCell ref="C39:E39"/>
    <mergeCell ref="C40:E40"/>
    <mergeCell ref="D4:E4"/>
    <mergeCell ref="D6:E6"/>
    <mergeCell ref="D5:E5"/>
    <mergeCell ref="D8:E8"/>
    <mergeCell ref="D7:E7"/>
    <mergeCell ref="D9:E9"/>
    <mergeCell ref="D10:E10"/>
    <mergeCell ref="D11:E11"/>
    <mergeCell ref="D12:E12"/>
    <mergeCell ref="B17:G17"/>
  </mergeCells>
  <phoneticPr fontId="6" type="noConversion"/>
  <dataValidations count="1">
    <dataValidation type="list" allowBlank="1" showInputMessage="1" showErrorMessage="1" sqref="E14" xr:uid="{00000000-0002-0000-0600-000000000000}">
      <formula1>"New, In Progress, Completed, Delayed"</formula1>
    </dataValidation>
  </dataValidations>
  <pageMargins left="0.28999999999999998" right="0.24" top="0.56000000000000005" bottom="0.49" header="0.24" footer="0.24"/>
  <pageSetup paperSize="9" scale="38" orientation="landscape" verticalDpi="1200" r:id="rId1"/>
  <headerFooter alignWithMargins="0">
    <oddHeader>&amp;C&amp;F &amp;R&amp;A</oddHeader>
    <oddFooter>&amp;L&amp;"Arial,Bold Italic"&amp;8Commercial in Confidence
&amp;"Arial,Regular"&amp;Z&amp;F&amp;R&amp;8Page: &amp;P of &amp;N</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3F8E39"/>
    <pageSetUpPr fitToPage="1"/>
  </sheetPr>
  <dimension ref="A1:Z14"/>
  <sheetViews>
    <sheetView showGridLines="0" zoomScaleNormal="100" workbookViewId="0">
      <selection activeCell="B1" sqref="B1"/>
    </sheetView>
  </sheetViews>
  <sheetFormatPr defaultColWidth="9.33203125" defaultRowHeight="13.8" x14ac:dyDescent="0.25"/>
  <cols>
    <col min="1" max="1" width="0.6640625" style="14" customWidth="1"/>
    <col min="2" max="2" width="25.6640625" style="14" customWidth="1"/>
    <col min="3" max="3" width="30.33203125" style="14" customWidth="1"/>
    <col min="4" max="4" width="19.33203125" style="14" customWidth="1"/>
    <col min="5" max="5" width="9.6640625" style="14" customWidth="1"/>
    <col min="6" max="6" width="11.44140625" style="14" customWidth="1"/>
    <col min="7" max="7" width="23.6640625" style="14" customWidth="1"/>
    <col min="8" max="8" width="18.33203125" style="14" customWidth="1"/>
    <col min="9" max="9" width="10.33203125" style="14" customWidth="1"/>
    <col min="10" max="16384" width="9.33203125" style="14"/>
  </cols>
  <sheetData>
    <row r="1" spans="1:26" s="10" customFormat="1" ht="28.5" customHeight="1" x14ac:dyDescent="0.25">
      <c r="B1" s="11" t="s">
        <v>504</v>
      </c>
      <c r="C1" s="12"/>
      <c r="D1" s="13"/>
      <c r="E1" s="13"/>
      <c r="F1" s="13"/>
      <c r="G1" s="13"/>
      <c r="H1" s="13"/>
      <c r="I1" s="13"/>
    </row>
    <row r="2" spans="1:26" s="40" customFormat="1" ht="16.5" customHeight="1" x14ac:dyDescent="0.25">
      <c r="B2" s="42" t="s">
        <v>505</v>
      </c>
      <c r="C2" s="38"/>
      <c r="D2" s="39"/>
      <c r="E2" s="39"/>
      <c r="F2" s="39"/>
      <c r="G2" s="39"/>
      <c r="H2" s="39"/>
      <c r="I2" s="39"/>
    </row>
    <row r="3" spans="1:26" ht="17.25" customHeight="1" x14ac:dyDescent="0.25"/>
    <row r="4" spans="1:26" ht="14.4" x14ac:dyDescent="0.25">
      <c r="B4" s="8" t="s">
        <v>2</v>
      </c>
      <c r="C4" s="203" t="str">
        <f>'Document Control'!C4</f>
        <v>PC</v>
      </c>
      <c r="D4" s="226"/>
      <c r="E4" s="199" t="s">
        <v>4</v>
      </c>
      <c r="F4" s="199"/>
      <c r="G4" s="210" t="str">
        <f>'Document Control'!G4</f>
        <v>US444</v>
      </c>
      <c r="H4" s="208"/>
      <c r="I4" s="198"/>
    </row>
    <row r="5" spans="1:26" ht="14.4" x14ac:dyDescent="0.25">
      <c r="B5" s="8" t="s">
        <v>6</v>
      </c>
      <c r="C5" s="203" t="str">
        <f>'Document Control'!C5</f>
        <v>Policy Info</v>
      </c>
      <c r="D5" s="226"/>
      <c r="E5" s="199" t="s">
        <v>8</v>
      </c>
      <c r="F5" s="199"/>
      <c r="G5" s="210" t="str">
        <f>'Document Control'!G5</f>
        <v>Not Started</v>
      </c>
      <c r="H5" s="208"/>
      <c r="I5" s="198"/>
    </row>
    <row r="6" spans="1:26" ht="14.4" x14ac:dyDescent="0.25">
      <c r="B6" s="8" t="s">
        <v>10</v>
      </c>
      <c r="C6" s="203" t="str">
        <f>'Document Control'!C6</f>
        <v>QuoteApplication</v>
      </c>
      <c r="D6" s="226"/>
      <c r="E6" s="199" t="s">
        <v>12</v>
      </c>
      <c r="F6" s="199"/>
      <c r="G6" s="197" t="str">
        <f>'Document Control'!G6</f>
        <v>10900-GW.2</v>
      </c>
      <c r="H6" s="223"/>
      <c r="I6" s="224"/>
    </row>
    <row r="7" spans="1:26" ht="14.4" x14ac:dyDescent="0.25">
      <c r="B7" s="8" t="str">
        <f>'Document Control'!B7</f>
        <v>Gap Business Value</v>
      </c>
      <c r="C7" s="203" t="str">
        <f>'Document Control'!C7</f>
        <v>3 - Significant Value</v>
      </c>
      <c r="D7" s="226"/>
      <c r="E7" s="199" t="s">
        <v>16</v>
      </c>
      <c r="F7" s="199"/>
      <c r="G7" s="210" t="str">
        <f>'Document Control'!G7</f>
        <v>4 - Full Product Alignment</v>
      </c>
      <c r="H7" s="208"/>
      <c r="I7" s="198"/>
    </row>
    <row r="8" spans="1:26" ht="14.4" x14ac:dyDescent="0.25">
      <c r="B8" s="8" t="s">
        <v>18</v>
      </c>
      <c r="C8" s="203" t="str">
        <f>'Document Control'!C8</f>
        <v>Project</v>
      </c>
      <c r="D8" s="226"/>
      <c r="E8" s="199" t="s">
        <v>20</v>
      </c>
      <c r="F8" s="199"/>
      <c r="G8" s="197" t="str">
        <f>'Document Control'!G8</f>
        <v>1. Critical</v>
      </c>
      <c r="H8" s="223"/>
      <c r="I8" s="224"/>
    </row>
    <row r="9" spans="1:26" ht="14.4" x14ac:dyDescent="0.25">
      <c r="B9" s="8" t="s">
        <v>22</v>
      </c>
      <c r="C9" s="203">
        <f>'Document Control'!C9</f>
        <v>0</v>
      </c>
      <c r="D9" s="226"/>
      <c r="E9" s="199" t="s">
        <v>23</v>
      </c>
      <c r="F9" s="199"/>
      <c r="G9" s="210">
        <f>'Document Control'!G9</f>
        <v>0</v>
      </c>
      <c r="H9" s="208"/>
      <c r="I9" s="198"/>
    </row>
    <row r="10" spans="1:26" ht="14.4" x14ac:dyDescent="0.25">
      <c r="B10" s="8"/>
      <c r="C10" s="203" t="str">
        <f>'Document Control'!C10</f>
        <v xml:space="preserve"> </v>
      </c>
      <c r="D10" s="226"/>
      <c r="E10" s="199" t="s">
        <v>25</v>
      </c>
      <c r="F10" s="199"/>
      <c r="G10" s="210" t="str">
        <f>'Document Control'!G10</f>
        <v>FUN_Standard</v>
      </c>
      <c r="H10" s="208"/>
      <c r="I10" s="198"/>
    </row>
    <row r="11" spans="1:26" ht="14.4" x14ac:dyDescent="0.25">
      <c r="B11" s="8"/>
      <c r="C11" s="203" t="str">
        <f>'Document Control'!C11</f>
        <v xml:space="preserve"> </v>
      </c>
      <c r="D11" s="226"/>
      <c r="E11" s="199" t="s">
        <v>27</v>
      </c>
      <c r="F11" s="199"/>
      <c r="G11" s="197">
        <f>'Document Control'!G11</f>
        <v>8</v>
      </c>
      <c r="H11" s="223"/>
      <c r="I11" s="224"/>
    </row>
    <row r="12" spans="1:26" ht="14.4" x14ac:dyDescent="0.25">
      <c r="B12" s="8" t="s">
        <v>28</v>
      </c>
      <c r="C12" s="203">
        <f>'Document Control'!C12</f>
        <v>0</v>
      </c>
      <c r="D12" s="226"/>
      <c r="E12" s="199" t="s">
        <v>29</v>
      </c>
      <c r="F12" s="199"/>
      <c r="G12" s="197">
        <f>'Document Control'!G12</f>
        <v>0</v>
      </c>
      <c r="H12" s="223"/>
      <c r="I12" s="224"/>
    </row>
    <row r="13" spans="1:26" ht="14.4" x14ac:dyDescent="0.25">
      <c r="B13" s="28"/>
      <c r="C13" s="29"/>
      <c r="D13" s="29"/>
      <c r="E13" s="29"/>
      <c r="F13" s="29"/>
      <c r="G13" s="29"/>
      <c r="H13" s="29"/>
      <c r="I13" s="29"/>
    </row>
    <row r="14" spans="1:26" s="5" customFormat="1" ht="18.75" customHeight="1" x14ac:dyDescent="0.3">
      <c r="A14" s="15"/>
      <c r="B14" s="256" t="s">
        <v>506</v>
      </c>
      <c r="C14" s="257"/>
      <c r="D14" s="257"/>
      <c r="E14" s="257"/>
      <c r="F14" s="257"/>
      <c r="G14" s="257"/>
      <c r="H14" s="257"/>
      <c r="I14" s="226"/>
      <c r="J14" s="15"/>
      <c r="K14" s="15"/>
      <c r="L14" s="15"/>
      <c r="M14" s="15"/>
      <c r="N14" s="15"/>
      <c r="O14" s="15"/>
      <c r="P14" s="15"/>
      <c r="Q14" s="15"/>
      <c r="R14" s="15"/>
      <c r="S14" s="15"/>
      <c r="T14" s="15"/>
      <c r="U14" s="15"/>
      <c r="V14" s="15"/>
      <c r="W14" s="15"/>
      <c r="X14" s="15"/>
      <c r="Y14" s="15"/>
      <c r="Z14" s="15"/>
    </row>
  </sheetData>
  <mergeCells count="28">
    <mergeCell ref="C11:D11"/>
    <mergeCell ref="E11:F11"/>
    <mergeCell ref="G11:I11"/>
    <mergeCell ref="C12:D12"/>
    <mergeCell ref="E12:F12"/>
    <mergeCell ref="G12:I12"/>
    <mergeCell ref="C8:D8"/>
    <mergeCell ref="E8:F8"/>
    <mergeCell ref="G8:I8"/>
    <mergeCell ref="B14:I14"/>
    <mergeCell ref="C6:D6"/>
    <mergeCell ref="E6:F6"/>
    <mergeCell ref="G6:I6"/>
    <mergeCell ref="C7:D7"/>
    <mergeCell ref="E7:F7"/>
    <mergeCell ref="G7:I7"/>
    <mergeCell ref="C9:D9"/>
    <mergeCell ref="E9:F9"/>
    <mergeCell ref="G9:I9"/>
    <mergeCell ref="C10:D10"/>
    <mergeCell ref="E10:F10"/>
    <mergeCell ref="G10:I10"/>
    <mergeCell ref="C4:D4"/>
    <mergeCell ref="E4:F4"/>
    <mergeCell ref="G4:I4"/>
    <mergeCell ref="C5:D5"/>
    <mergeCell ref="E5:F5"/>
    <mergeCell ref="G5:I5"/>
  </mergeCell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3F8E39"/>
    <pageSetUpPr fitToPage="1"/>
  </sheetPr>
  <dimension ref="A1:Z17"/>
  <sheetViews>
    <sheetView showGridLines="0" zoomScaleNormal="100" workbookViewId="0">
      <selection activeCell="B1" sqref="B1"/>
    </sheetView>
  </sheetViews>
  <sheetFormatPr defaultColWidth="9.33203125" defaultRowHeight="13.8" x14ac:dyDescent="0.25"/>
  <cols>
    <col min="1" max="1" width="0.6640625" style="14" customWidth="1"/>
    <col min="2" max="2" width="25.6640625" style="14" customWidth="1"/>
    <col min="3" max="3" width="30.33203125" style="14" customWidth="1"/>
    <col min="4" max="4" width="19.33203125" style="14" customWidth="1"/>
    <col min="5" max="5" width="9.6640625" style="14" customWidth="1"/>
    <col min="6" max="6" width="11.44140625" style="14" customWidth="1"/>
    <col min="7" max="7" width="23.6640625" style="14" customWidth="1"/>
    <col min="8" max="8" width="18.33203125" style="14" customWidth="1"/>
    <col min="9" max="9" width="10.33203125" style="14" customWidth="1"/>
    <col min="10" max="16384" width="9.33203125" style="14"/>
  </cols>
  <sheetData>
    <row r="1" spans="1:26" s="10" customFormat="1" ht="28.5" customHeight="1" x14ac:dyDescent="0.25">
      <c r="B1" s="11" t="s">
        <v>507</v>
      </c>
      <c r="C1" s="12"/>
      <c r="D1" s="13"/>
      <c r="E1" s="13"/>
      <c r="F1" s="13"/>
      <c r="G1" s="13"/>
      <c r="H1" s="13"/>
      <c r="I1" s="13"/>
    </row>
    <row r="2" spans="1:26" s="40" customFormat="1" ht="28.5" customHeight="1" x14ac:dyDescent="0.25">
      <c r="B2" s="261" t="s">
        <v>508</v>
      </c>
      <c r="C2" s="261"/>
      <c r="D2" s="261"/>
      <c r="E2" s="261"/>
      <c r="F2" s="261"/>
      <c r="G2" s="261"/>
      <c r="H2" s="39"/>
      <c r="I2" s="39"/>
    </row>
    <row r="3" spans="1:26" ht="17.25" customHeight="1" x14ac:dyDescent="0.25"/>
    <row r="4" spans="1:26" ht="14.4" x14ac:dyDescent="0.25">
      <c r="B4" s="8" t="s">
        <v>2</v>
      </c>
      <c r="C4" s="203" t="str">
        <f>'Document Control'!C4</f>
        <v>PC</v>
      </c>
      <c r="D4" s="226"/>
      <c r="E4" s="199" t="s">
        <v>4</v>
      </c>
      <c r="F4" s="199"/>
      <c r="G4" s="210" t="str">
        <f>'Document Control'!G4</f>
        <v>US444</v>
      </c>
      <c r="H4" s="208"/>
      <c r="I4" s="198"/>
    </row>
    <row r="5" spans="1:26" ht="14.4" x14ac:dyDescent="0.25">
      <c r="B5" s="8" t="s">
        <v>6</v>
      </c>
      <c r="C5" s="203" t="str">
        <f>'Document Control'!C5</f>
        <v>Policy Info</v>
      </c>
      <c r="D5" s="226"/>
      <c r="E5" s="199" t="s">
        <v>8</v>
      </c>
      <c r="F5" s="199"/>
      <c r="G5" s="210" t="str">
        <f>'Document Control'!G5</f>
        <v>Not Started</v>
      </c>
      <c r="H5" s="208"/>
      <c r="I5" s="198"/>
    </row>
    <row r="6" spans="1:26" ht="14.4" x14ac:dyDescent="0.25">
      <c r="B6" s="8" t="s">
        <v>10</v>
      </c>
      <c r="C6" s="203" t="str">
        <f>'Document Control'!C6</f>
        <v>QuoteApplication</v>
      </c>
      <c r="D6" s="226"/>
      <c r="E6" s="199" t="s">
        <v>12</v>
      </c>
      <c r="F6" s="199"/>
      <c r="G6" s="197" t="str">
        <f>'Document Control'!G6</f>
        <v>10900-GW.2</v>
      </c>
      <c r="H6" s="223"/>
      <c r="I6" s="224"/>
    </row>
    <row r="7" spans="1:26" ht="14.4" x14ac:dyDescent="0.25">
      <c r="B7" s="8" t="str">
        <f>'Document Control'!B7</f>
        <v>Gap Business Value</v>
      </c>
      <c r="C7" s="203" t="str">
        <f>'Document Control'!C7</f>
        <v>3 - Significant Value</v>
      </c>
      <c r="D7" s="226"/>
      <c r="E7" s="199" t="s">
        <v>16</v>
      </c>
      <c r="F7" s="199"/>
      <c r="G7" s="210" t="str">
        <f>'Document Control'!G7</f>
        <v>4 - Full Product Alignment</v>
      </c>
      <c r="H7" s="208"/>
      <c r="I7" s="198"/>
    </row>
    <row r="8" spans="1:26" ht="14.4" x14ac:dyDescent="0.25">
      <c r="B8" s="8" t="s">
        <v>18</v>
      </c>
      <c r="C8" s="203" t="str">
        <f>'Document Control'!C8</f>
        <v>Project</v>
      </c>
      <c r="D8" s="226"/>
      <c r="E8" s="199" t="s">
        <v>20</v>
      </c>
      <c r="F8" s="199"/>
      <c r="G8" s="197" t="str">
        <f>'Document Control'!G8</f>
        <v>1. Critical</v>
      </c>
      <c r="H8" s="223"/>
      <c r="I8" s="224"/>
    </row>
    <row r="9" spans="1:26" ht="14.4" x14ac:dyDescent="0.25">
      <c r="B9" s="8" t="s">
        <v>22</v>
      </c>
      <c r="C9" s="203">
        <f>'Document Control'!C9</f>
        <v>0</v>
      </c>
      <c r="D9" s="226"/>
      <c r="E9" s="199" t="s">
        <v>23</v>
      </c>
      <c r="F9" s="199"/>
      <c r="G9" s="210">
        <f>'Document Control'!G9</f>
        <v>0</v>
      </c>
      <c r="H9" s="208"/>
      <c r="I9" s="198"/>
    </row>
    <row r="10" spans="1:26" ht="14.4" x14ac:dyDescent="0.25">
      <c r="B10" s="8"/>
      <c r="C10" s="203" t="str">
        <f>'Document Control'!C10</f>
        <v xml:space="preserve"> </v>
      </c>
      <c r="D10" s="226"/>
      <c r="E10" s="199" t="s">
        <v>25</v>
      </c>
      <c r="F10" s="199"/>
      <c r="G10" s="210" t="str">
        <f>'Document Control'!G10</f>
        <v>FUN_Standard</v>
      </c>
      <c r="H10" s="208"/>
      <c r="I10" s="198"/>
    </row>
    <row r="11" spans="1:26" ht="14.4" x14ac:dyDescent="0.25">
      <c r="B11" s="8"/>
      <c r="C11" s="203" t="str">
        <f>'Document Control'!C11</f>
        <v xml:space="preserve"> </v>
      </c>
      <c r="D11" s="226"/>
      <c r="E11" s="199" t="s">
        <v>27</v>
      </c>
      <c r="F11" s="199"/>
      <c r="G11" s="197">
        <f>'Document Control'!G11</f>
        <v>8</v>
      </c>
      <c r="H11" s="223"/>
      <c r="I11" s="224"/>
    </row>
    <row r="12" spans="1:26" ht="14.4" x14ac:dyDescent="0.25">
      <c r="B12" s="8" t="s">
        <v>28</v>
      </c>
      <c r="C12" s="203">
        <f>'Document Control'!C12</f>
        <v>0</v>
      </c>
      <c r="D12" s="226"/>
      <c r="E12" s="199" t="s">
        <v>29</v>
      </c>
      <c r="F12" s="199"/>
      <c r="G12" s="197">
        <f>'Document Control'!G12</f>
        <v>0</v>
      </c>
      <c r="H12" s="223"/>
      <c r="I12" s="224"/>
    </row>
    <row r="13" spans="1:26" ht="14.4" x14ac:dyDescent="0.25">
      <c r="B13" s="28"/>
      <c r="C13" s="29"/>
      <c r="D13" s="29"/>
      <c r="E13" s="29"/>
      <c r="F13" s="29"/>
      <c r="G13" s="29"/>
      <c r="H13" s="29"/>
      <c r="I13" s="29"/>
    </row>
    <row r="14" spans="1:26" s="5" customFormat="1" ht="18.75" customHeight="1" x14ac:dyDescent="0.3">
      <c r="A14" s="15"/>
      <c r="B14" s="256" t="s">
        <v>509</v>
      </c>
      <c r="C14" s="257"/>
      <c r="D14" s="257"/>
      <c r="E14" s="257"/>
      <c r="F14" s="257"/>
      <c r="G14" s="257"/>
      <c r="H14" s="257"/>
      <c r="I14" s="226"/>
      <c r="J14" s="15"/>
      <c r="K14" s="15"/>
      <c r="L14" s="15"/>
      <c r="M14" s="15"/>
      <c r="N14" s="15"/>
      <c r="O14" s="15"/>
      <c r="P14" s="15"/>
      <c r="Q14" s="15"/>
      <c r="R14" s="15"/>
      <c r="S14" s="15"/>
      <c r="T14" s="15"/>
      <c r="U14" s="15"/>
      <c r="V14" s="15"/>
      <c r="W14" s="15"/>
      <c r="X14" s="15"/>
      <c r="Y14" s="15"/>
      <c r="Z14" s="15"/>
    </row>
    <row r="15" spans="1:26" ht="14.4" x14ac:dyDescent="0.25">
      <c r="B15" s="61" t="s">
        <v>60</v>
      </c>
      <c r="C15" s="258" t="s">
        <v>510</v>
      </c>
      <c r="D15" s="259"/>
      <c r="E15" s="259"/>
      <c r="F15" s="259"/>
      <c r="G15" s="259"/>
      <c r="H15" s="259"/>
      <c r="I15" s="260"/>
    </row>
    <row r="16" spans="1:26" ht="14.4" x14ac:dyDescent="0.25">
      <c r="B16" s="32"/>
      <c r="C16" s="203"/>
      <c r="D16" s="204"/>
      <c r="E16" s="204"/>
      <c r="F16" s="204"/>
      <c r="G16" s="204"/>
      <c r="H16" s="204"/>
      <c r="I16" s="205"/>
    </row>
    <row r="17" spans="2:9" ht="14.4" x14ac:dyDescent="0.25">
      <c r="B17" s="32"/>
      <c r="C17" s="203"/>
      <c r="D17" s="204"/>
      <c r="E17" s="204"/>
      <c r="F17" s="204"/>
      <c r="G17" s="204"/>
      <c r="H17" s="204"/>
      <c r="I17" s="205"/>
    </row>
  </sheetData>
  <mergeCells count="32">
    <mergeCell ref="C8:D8"/>
    <mergeCell ref="E8:F8"/>
    <mergeCell ref="G8:I8"/>
    <mergeCell ref="B14:I14"/>
    <mergeCell ref="E9:F9"/>
    <mergeCell ref="E10:F10"/>
    <mergeCell ref="E11:F11"/>
    <mergeCell ref="E12:F12"/>
    <mergeCell ref="C9:D9"/>
    <mergeCell ref="C10:D10"/>
    <mergeCell ref="C11:D11"/>
    <mergeCell ref="C12:D12"/>
    <mergeCell ref="G9:I9"/>
    <mergeCell ref="G10:I10"/>
    <mergeCell ref="G11:I11"/>
    <mergeCell ref="G12:I12"/>
    <mergeCell ref="C15:I15"/>
    <mergeCell ref="C16:I16"/>
    <mergeCell ref="C17:I17"/>
    <mergeCell ref="B2:G2"/>
    <mergeCell ref="C6:D6"/>
    <mergeCell ref="E6:F6"/>
    <mergeCell ref="G6:I6"/>
    <mergeCell ref="C7:D7"/>
    <mergeCell ref="E7:F7"/>
    <mergeCell ref="G7:I7"/>
    <mergeCell ref="C4:D4"/>
    <mergeCell ref="E4:F4"/>
    <mergeCell ref="G4:I4"/>
    <mergeCell ref="C5:D5"/>
    <mergeCell ref="E5:F5"/>
    <mergeCell ref="G5:I5"/>
  </mergeCell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0" tint="-0.499984740745262"/>
  </sheetPr>
  <dimension ref="A1:T42"/>
  <sheetViews>
    <sheetView showGridLines="0" zoomScaleNormal="100" workbookViewId="0">
      <pane xSplit="1" ySplit="13" topLeftCell="B14" activePane="bottomRight" state="frozen"/>
      <selection pane="topRight" activeCell="C19" sqref="C19"/>
      <selection pane="bottomLeft" activeCell="C19" sqref="C19"/>
      <selection pane="bottomRight" activeCell="B1" sqref="B1"/>
    </sheetView>
  </sheetViews>
  <sheetFormatPr defaultColWidth="9.33203125" defaultRowHeight="13.2" x14ac:dyDescent="0.25"/>
  <cols>
    <col min="1" max="1" width="0.6640625" style="1" customWidth="1"/>
    <col min="2" max="2" width="23.6640625" style="1" customWidth="1"/>
    <col min="3" max="3" width="35" style="2" customWidth="1"/>
    <col min="4" max="4" width="23.6640625" style="1" customWidth="1"/>
    <col min="5" max="5" width="53.6640625" style="1" customWidth="1"/>
    <col min="6" max="16384" width="9.33203125" style="1"/>
  </cols>
  <sheetData>
    <row r="1" spans="1:20" s="16" customFormat="1" ht="28.5" customHeight="1" x14ac:dyDescent="0.25">
      <c r="B1" s="11" t="s">
        <v>511</v>
      </c>
      <c r="C1" s="45"/>
    </row>
    <row r="2" spans="1:20" s="41" customFormat="1" ht="31.2" customHeight="1" x14ac:dyDescent="0.25">
      <c r="B2" s="262" t="s">
        <v>512</v>
      </c>
      <c r="C2" s="262"/>
    </row>
    <row r="3" spans="1:20" s="16" customFormat="1" ht="17.25" customHeight="1" x14ac:dyDescent="0.25"/>
    <row r="4" spans="1:20" s="14" customFormat="1" ht="15" customHeight="1" x14ac:dyDescent="0.25">
      <c r="A4" s="16"/>
      <c r="B4" s="8" t="s">
        <v>2</v>
      </c>
      <c r="C4" s="93" t="str">
        <f>'Document Control'!C4</f>
        <v>PC</v>
      </c>
      <c r="D4" s="94" t="s">
        <v>4</v>
      </c>
      <c r="E4" s="95" t="str">
        <f>'Document Control'!G4</f>
        <v>US444</v>
      </c>
    </row>
    <row r="5" spans="1:20" s="14" customFormat="1" ht="14.4" x14ac:dyDescent="0.25">
      <c r="A5" s="16"/>
      <c r="B5" s="8" t="s">
        <v>6</v>
      </c>
      <c r="C5" s="93" t="str">
        <f>'Document Control'!C5</f>
        <v>Policy Info</v>
      </c>
      <c r="D5" s="94" t="s">
        <v>8</v>
      </c>
      <c r="E5" s="95" t="str">
        <f>'Document Control'!G5</f>
        <v>Not Started</v>
      </c>
    </row>
    <row r="6" spans="1:20" s="14" customFormat="1" ht="14.4" x14ac:dyDescent="0.25">
      <c r="A6" s="16"/>
      <c r="B6" s="8" t="s">
        <v>10</v>
      </c>
      <c r="C6" s="93" t="str">
        <f>'Document Control'!C6</f>
        <v>QuoteApplication</v>
      </c>
      <c r="D6" s="94" t="s">
        <v>12</v>
      </c>
      <c r="E6" s="95" t="str">
        <f>'Document Control'!G6</f>
        <v>10900-GW.2</v>
      </c>
    </row>
    <row r="7" spans="1:20" s="14" customFormat="1" ht="14.4" x14ac:dyDescent="0.25">
      <c r="A7" s="16"/>
      <c r="B7" s="8" t="str">
        <f>'Document Control'!B7</f>
        <v>Gap Business Value</v>
      </c>
      <c r="C7" s="93" t="str">
        <f>'Document Control'!C7</f>
        <v>3 - Significant Value</v>
      </c>
      <c r="D7" s="94" t="s">
        <v>16</v>
      </c>
      <c r="E7" s="95" t="str">
        <f>'Document Control'!G7</f>
        <v>4 - Full Product Alignment</v>
      </c>
      <c r="I7" s="16"/>
      <c r="J7" s="16"/>
      <c r="K7" s="16"/>
      <c r="L7" s="16"/>
      <c r="M7" s="16"/>
      <c r="N7" s="16"/>
      <c r="O7" s="16"/>
      <c r="P7" s="16"/>
      <c r="Q7" s="16"/>
      <c r="R7" s="16"/>
      <c r="S7" s="16"/>
      <c r="T7" s="16"/>
    </row>
    <row r="8" spans="1:20" s="14" customFormat="1" ht="14.4" x14ac:dyDescent="0.25">
      <c r="A8" s="16"/>
      <c r="B8" s="8" t="s">
        <v>18</v>
      </c>
      <c r="C8" s="93" t="str">
        <f>'Document Control'!C8</f>
        <v>Project</v>
      </c>
      <c r="D8" s="94" t="s">
        <v>20</v>
      </c>
      <c r="E8" s="95" t="str">
        <f>'Document Control'!G8</f>
        <v>1. Critical</v>
      </c>
    </row>
    <row r="9" spans="1:20" s="14" customFormat="1" ht="14.4" x14ac:dyDescent="0.25">
      <c r="A9" s="16"/>
      <c r="B9" s="8" t="s">
        <v>22</v>
      </c>
      <c r="C9" s="93">
        <f>'Document Control'!C9</f>
        <v>0</v>
      </c>
      <c r="D9" s="94" t="s">
        <v>23</v>
      </c>
      <c r="E9" s="95">
        <f>'Document Control'!G9</f>
        <v>0</v>
      </c>
    </row>
    <row r="10" spans="1:20" s="14" customFormat="1" ht="14.4" x14ac:dyDescent="0.25">
      <c r="A10" s="16"/>
      <c r="B10" s="8"/>
      <c r="C10" s="93" t="str">
        <f>'Document Control'!C10</f>
        <v xml:space="preserve"> </v>
      </c>
      <c r="D10" s="94" t="s">
        <v>25</v>
      </c>
      <c r="E10" s="95" t="str">
        <f>'Document Control'!G10</f>
        <v>FUN_Standard</v>
      </c>
    </row>
    <row r="11" spans="1:20" s="14" customFormat="1" ht="14.4" x14ac:dyDescent="0.25">
      <c r="A11" s="16"/>
      <c r="B11" s="8"/>
      <c r="C11" s="93" t="str">
        <f>'Document Control'!C11</f>
        <v xml:space="preserve"> </v>
      </c>
      <c r="D11" s="94" t="s">
        <v>27</v>
      </c>
      <c r="E11" s="95">
        <f>'Document Control'!G11</f>
        <v>8</v>
      </c>
    </row>
    <row r="12" spans="1:20" s="14" customFormat="1" ht="14.4" x14ac:dyDescent="0.25">
      <c r="A12" s="16"/>
      <c r="B12" s="8" t="s">
        <v>28</v>
      </c>
      <c r="C12" s="93">
        <f>'Document Control'!C12</f>
        <v>0</v>
      </c>
      <c r="D12" s="94" t="s">
        <v>29</v>
      </c>
      <c r="E12" s="95">
        <f>'Document Control'!G12</f>
        <v>0</v>
      </c>
    </row>
    <row r="13" spans="1:20" s="16" customFormat="1" ht="14.4" x14ac:dyDescent="0.25">
      <c r="B13" s="34"/>
      <c r="C13" s="35"/>
      <c r="D13" s="33"/>
      <c r="E13" s="36"/>
      <c r="F13" s="35"/>
      <c r="G13" s="37"/>
    </row>
    <row r="14" spans="1:20" ht="14.4" x14ac:dyDescent="0.25">
      <c r="B14" s="77" t="s">
        <v>513</v>
      </c>
      <c r="C14" s="78" t="s">
        <v>514</v>
      </c>
      <c r="D14" s="79" t="s">
        <v>515</v>
      </c>
      <c r="E14" s="77" t="s">
        <v>516</v>
      </c>
    </row>
    <row r="15" spans="1:20" s="7" customFormat="1" ht="14.4" x14ac:dyDescent="0.25">
      <c r="B15" s="71" t="s">
        <v>517</v>
      </c>
      <c r="C15" s="72">
        <v>0</v>
      </c>
      <c r="D15" s="73">
        <f>IF(C15=0,0,(C15/tbl_Estimation[[#Totals],[Hours]]))</f>
        <v>0</v>
      </c>
      <c r="E15" s="74"/>
    </row>
    <row r="16" spans="1:20" s="7" customFormat="1" ht="14.4" x14ac:dyDescent="0.25">
      <c r="B16" s="71" t="s">
        <v>518</v>
      </c>
      <c r="C16" s="72">
        <v>0</v>
      </c>
      <c r="D16" s="73">
        <f>IF(C16=0,0,(C16/tbl_Estimation[[#Totals],[Hours]]))</f>
        <v>0</v>
      </c>
      <c r="E16" s="74"/>
    </row>
    <row r="17" spans="2:5" s="7" customFormat="1" ht="14.4" x14ac:dyDescent="0.25">
      <c r="B17" s="71" t="s">
        <v>519</v>
      </c>
      <c r="C17" s="72">
        <v>0</v>
      </c>
      <c r="D17" s="73">
        <f>IF(C17=0,0,(C17/tbl_Estimation[[#Totals],[Hours]]))</f>
        <v>0</v>
      </c>
      <c r="E17" s="74"/>
    </row>
    <row r="18" spans="2:5" s="7" customFormat="1" ht="14.4" x14ac:dyDescent="0.25">
      <c r="B18" s="71" t="s">
        <v>520</v>
      </c>
      <c r="C18" s="72">
        <v>0</v>
      </c>
      <c r="D18" s="73">
        <f>IF(C18=0,0,(C18/tbl_Estimation[[#Totals],[Hours]]))</f>
        <v>0</v>
      </c>
      <c r="E18" s="74"/>
    </row>
    <row r="19" spans="2:5" s="7" customFormat="1" ht="14.4" x14ac:dyDescent="0.25">
      <c r="B19" s="71" t="s">
        <v>521</v>
      </c>
      <c r="C19" s="72">
        <v>0</v>
      </c>
      <c r="D19" s="73">
        <f>IF(C19=0,0,(C19/tbl_Estimation[[#Totals],[Hours]]))</f>
        <v>0</v>
      </c>
      <c r="E19" s="74"/>
    </row>
    <row r="20" spans="2:5" s="7" customFormat="1" ht="14.4" x14ac:dyDescent="0.25">
      <c r="B20" s="71" t="s">
        <v>522</v>
      </c>
      <c r="C20" s="72">
        <v>0</v>
      </c>
      <c r="D20" s="73">
        <f>IF(C20=0,0,(C20/tbl_Estimation[[#Totals],[Hours]]))</f>
        <v>0</v>
      </c>
      <c r="E20" s="74"/>
    </row>
    <row r="21" spans="2:5" s="7" customFormat="1" ht="14.4" x14ac:dyDescent="0.25">
      <c r="B21" s="71" t="s">
        <v>523</v>
      </c>
      <c r="C21" s="72">
        <v>0</v>
      </c>
      <c r="D21" s="73">
        <f>IF(C21=0,0,(C21/tbl_Estimation[[#Totals],[Hours]]))</f>
        <v>0</v>
      </c>
      <c r="E21" s="74"/>
    </row>
    <row r="22" spans="2:5" ht="14.4" x14ac:dyDescent="0.25">
      <c r="B22" s="71" t="s">
        <v>524</v>
      </c>
      <c r="C22" s="72">
        <v>0</v>
      </c>
      <c r="D22" s="73">
        <f>IF(C22=0,0,(C22/tbl_Estimation[[#Totals],[Hours]]))</f>
        <v>0</v>
      </c>
      <c r="E22" s="74"/>
    </row>
    <row r="23" spans="2:5" ht="14.4" x14ac:dyDescent="0.25">
      <c r="B23" s="71" t="s">
        <v>525</v>
      </c>
      <c r="C23" s="72">
        <v>0</v>
      </c>
      <c r="D23" s="73">
        <f>IF(C23=0,0,(C23/tbl_Estimation[[#Totals],[Hours]]))</f>
        <v>0</v>
      </c>
      <c r="E23" s="74"/>
    </row>
    <row r="24" spans="2:5" ht="14.4" x14ac:dyDescent="0.25">
      <c r="B24" s="71" t="s">
        <v>526</v>
      </c>
      <c r="C24" s="72">
        <v>0</v>
      </c>
      <c r="D24" s="73">
        <f>IF(C24=0,0,(C24/tbl_Estimation[[#Totals],[Hours]]))</f>
        <v>0</v>
      </c>
      <c r="E24" s="74"/>
    </row>
    <row r="25" spans="2:5" ht="14.4" x14ac:dyDescent="0.25">
      <c r="B25" s="71" t="s">
        <v>527</v>
      </c>
      <c r="C25" s="72">
        <v>0</v>
      </c>
      <c r="D25" s="73">
        <f>IF(C25=0,0,(C25/tbl_Estimation[[#Totals],[Hours]]))</f>
        <v>0</v>
      </c>
      <c r="E25" s="74"/>
    </row>
    <row r="26" spans="2:5" ht="14.4" x14ac:dyDescent="0.25">
      <c r="B26" s="71" t="s">
        <v>528</v>
      </c>
      <c r="C26" s="72">
        <v>0</v>
      </c>
      <c r="D26" s="73">
        <f>IF(C26=0,0,(C26/tbl_Estimation[[#Totals],[Hours]]))</f>
        <v>0</v>
      </c>
      <c r="E26" s="74"/>
    </row>
    <row r="27" spans="2:5" ht="14.4" x14ac:dyDescent="0.25">
      <c r="B27" s="75" t="s">
        <v>529</v>
      </c>
      <c r="C27" s="76">
        <f>SUBTOTAL(109,tbl_Estimation[Hours])</f>
        <v>0</v>
      </c>
      <c r="D27" s="80">
        <f>SUBTOTAL(109,tbl_Estimation[% of Effort])</f>
        <v>0</v>
      </c>
      <c r="E27" s="31"/>
    </row>
    <row r="28" spans="2:5" x14ac:dyDescent="0.25">
      <c r="B28" s="2"/>
      <c r="D28" s="2"/>
    </row>
    <row r="29" spans="2:5" ht="14.4" x14ac:dyDescent="0.25">
      <c r="B29" s="266" t="s">
        <v>530</v>
      </c>
      <c r="C29" s="267"/>
      <c r="D29" s="268"/>
    </row>
    <row r="30" spans="2:5" ht="14.4" x14ac:dyDescent="0.25">
      <c r="B30" s="263"/>
      <c r="C30" s="264"/>
      <c r="D30" s="265"/>
    </row>
    <row r="31" spans="2:5" ht="14.4" x14ac:dyDescent="0.25">
      <c r="B31" s="263"/>
      <c r="C31" s="264"/>
      <c r="D31" s="265"/>
    </row>
    <row r="32" spans="2:5" ht="14.4" x14ac:dyDescent="0.25">
      <c r="B32" s="263"/>
      <c r="C32" s="264"/>
      <c r="D32" s="265"/>
    </row>
    <row r="33" spans="2:4" ht="14.4" x14ac:dyDescent="0.25">
      <c r="B33" s="263"/>
      <c r="C33" s="264"/>
      <c r="D33" s="265"/>
    </row>
    <row r="34" spans="2:4" ht="14.4" x14ac:dyDescent="0.25">
      <c r="B34" s="263"/>
      <c r="C34" s="264"/>
      <c r="D34" s="265"/>
    </row>
    <row r="35" spans="2:4" ht="14.4" x14ac:dyDescent="0.25">
      <c r="B35" s="263"/>
      <c r="C35" s="264"/>
      <c r="D35" s="265"/>
    </row>
    <row r="36" spans="2:4" ht="14.4" x14ac:dyDescent="0.25">
      <c r="B36" s="263"/>
      <c r="C36" s="264"/>
      <c r="D36" s="265"/>
    </row>
    <row r="37" spans="2:4" ht="14.4" x14ac:dyDescent="0.25">
      <c r="B37" s="263"/>
      <c r="C37" s="264"/>
      <c r="D37" s="265"/>
    </row>
    <row r="38" spans="2:4" ht="14.4" x14ac:dyDescent="0.25">
      <c r="B38" s="263"/>
      <c r="C38" s="264"/>
      <c r="D38" s="265"/>
    </row>
    <row r="39" spans="2:4" ht="14.4" x14ac:dyDescent="0.25">
      <c r="B39" s="263"/>
      <c r="C39" s="264"/>
      <c r="D39" s="265"/>
    </row>
    <row r="40" spans="2:4" ht="14.4" x14ac:dyDescent="0.25">
      <c r="B40" s="263"/>
      <c r="C40" s="264"/>
      <c r="D40" s="265"/>
    </row>
    <row r="41" spans="2:4" ht="14.4" x14ac:dyDescent="0.25">
      <c r="B41" s="263"/>
      <c r="C41" s="264"/>
      <c r="D41" s="265"/>
    </row>
    <row r="42" spans="2:4" ht="14.4" x14ac:dyDescent="0.25">
      <c r="B42" s="263"/>
      <c r="C42" s="264"/>
      <c r="D42" s="265"/>
    </row>
  </sheetData>
  <dataConsolidate/>
  <mergeCells count="15">
    <mergeCell ref="B2:C2"/>
    <mergeCell ref="B42:D42"/>
    <mergeCell ref="B35:D35"/>
    <mergeCell ref="B29:D29"/>
    <mergeCell ref="B30:D30"/>
    <mergeCell ref="B31:D31"/>
    <mergeCell ref="B36:D36"/>
    <mergeCell ref="B41:D41"/>
    <mergeCell ref="B32:D32"/>
    <mergeCell ref="B40:D40"/>
    <mergeCell ref="B33:D33"/>
    <mergeCell ref="B37:D37"/>
    <mergeCell ref="B38:D38"/>
    <mergeCell ref="B39:D39"/>
    <mergeCell ref="B34:D34"/>
  </mergeCells>
  <phoneticPr fontId="0" type="noConversion"/>
  <dataValidations count="1">
    <dataValidation type="whole" allowBlank="1" showInputMessage="1" showErrorMessage="1" sqref="C28:C42 C15:C26" xr:uid="{00000000-0002-0000-0900-000000000000}">
      <formula1>0</formula1>
      <formula2>9999</formula2>
    </dataValidation>
  </dataValidations>
  <pageMargins left="0.28999999999999998" right="0.24" top="0.56000000000000005" bottom="0.49" header="0.24" footer="0.24"/>
  <pageSetup paperSize="9" orientation="landscape" verticalDpi="1200" r:id="rId1"/>
  <headerFooter alignWithMargins="0">
    <oddHeader>&amp;C&amp;F &amp;R&amp;A</oddHeader>
    <oddFooter>&amp;L&amp;"Arial,Bold Italic"&amp;8Commercial in Confidence
&amp;"Arial,Regular"&amp;Z&amp;F&amp;R&amp;8Page: &amp;P of &amp;N</oddFooter>
  </headerFooter>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S265"/>
  <sheetViews>
    <sheetView workbookViewId="0">
      <selection activeCell="G22" sqref="G22"/>
    </sheetView>
  </sheetViews>
  <sheetFormatPr defaultRowHeight="13.8" x14ac:dyDescent="0.3"/>
  <cols>
    <col min="1" max="1" width="17.6640625" style="19" customWidth="1"/>
    <col min="3" max="3" width="14.33203125" bestFit="1" customWidth="1"/>
    <col min="5" max="5" width="15.6640625" bestFit="1" customWidth="1"/>
    <col min="7" max="7" width="16.33203125" bestFit="1" customWidth="1"/>
    <col min="9" max="9" width="21.6640625" bestFit="1" customWidth="1"/>
    <col min="10" max="10" width="13.6640625" customWidth="1"/>
    <col min="11" max="11" width="21.6640625" bestFit="1" customWidth="1"/>
    <col min="13" max="13" width="21.6640625" bestFit="1" customWidth="1"/>
    <col min="19" max="19" width="15.6640625" bestFit="1" customWidth="1"/>
  </cols>
  <sheetData>
    <row r="1" spans="1:19" x14ac:dyDescent="0.3">
      <c r="A1" s="58" t="s">
        <v>531</v>
      </c>
      <c r="C1" s="58" t="s">
        <v>532</v>
      </c>
      <c r="E1" s="58" t="s">
        <v>18</v>
      </c>
      <c r="G1" s="58" t="s">
        <v>533</v>
      </c>
      <c r="I1" s="58" t="s">
        <v>534</v>
      </c>
      <c r="K1" s="58" t="s">
        <v>535</v>
      </c>
      <c r="M1" s="58" t="s">
        <v>10</v>
      </c>
      <c r="O1" s="58" t="s">
        <v>536</v>
      </c>
      <c r="Q1" s="58" t="s">
        <v>537</v>
      </c>
      <c r="S1" s="58"/>
    </row>
    <row r="2" spans="1:19" x14ac:dyDescent="0.3">
      <c r="A2" s="59" t="s">
        <v>538</v>
      </c>
      <c r="C2" s="59" t="s">
        <v>9</v>
      </c>
      <c r="E2" s="59" t="s">
        <v>83</v>
      </c>
      <c r="G2" s="59" t="s">
        <v>539</v>
      </c>
      <c r="I2" s="59" t="s">
        <v>17</v>
      </c>
      <c r="K2" s="59" t="s">
        <v>540</v>
      </c>
      <c r="M2" s="59" t="s">
        <v>541</v>
      </c>
      <c r="O2" s="59" t="b">
        <v>1</v>
      </c>
      <c r="Q2" s="59" t="s">
        <v>21</v>
      </c>
      <c r="S2" s="59"/>
    </row>
    <row r="3" spans="1:19" x14ac:dyDescent="0.3">
      <c r="A3" s="59" t="s">
        <v>542</v>
      </c>
      <c r="C3" s="59" t="s">
        <v>543</v>
      </c>
      <c r="E3" s="59" t="s">
        <v>544</v>
      </c>
      <c r="G3" s="59" t="s">
        <v>543</v>
      </c>
      <c r="I3" s="59" t="s">
        <v>545</v>
      </c>
      <c r="K3" s="59" t="s">
        <v>15</v>
      </c>
      <c r="M3" s="59" t="s">
        <v>546</v>
      </c>
      <c r="O3" s="59" t="b">
        <v>0</v>
      </c>
      <c r="Q3" s="59" t="s">
        <v>547</v>
      </c>
      <c r="S3" s="59"/>
    </row>
    <row r="4" spans="1:19" x14ac:dyDescent="0.3">
      <c r="A4" s="59" t="s">
        <v>548</v>
      </c>
      <c r="C4" s="59" t="s">
        <v>549</v>
      </c>
      <c r="E4" s="59" t="s">
        <v>539</v>
      </c>
      <c r="G4" s="59" t="s">
        <v>550</v>
      </c>
      <c r="I4" s="59" t="s">
        <v>551</v>
      </c>
      <c r="K4" s="59" t="s">
        <v>552</v>
      </c>
      <c r="M4" s="59" t="s">
        <v>553</v>
      </c>
      <c r="Q4" s="59" t="s">
        <v>554</v>
      </c>
      <c r="S4" s="59"/>
    </row>
    <row r="5" spans="1:19" x14ac:dyDescent="0.3">
      <c r="A5" s="59" t="s">
        <v>555</v>
      </c>
      <c r="C5" s="59" t="s">
        <v>556</v>
      </c>
      <c r="G5" s="59" t="s">
        <v>557</v>
      </c>
      <c r="I5" s="59" t="s">
        <v>558</v>
      </c>
      <c r="K5" s="59" t="s">
        <v>559</v>
      </c>
      <c r="M5" s="59" t="s">
        <v>560</v>
      </c>
      <c r="Q5" s="59" t="s">
        <v>561</v>
      </c>
    </row>
    <row r="6" spans="1:19" x14ac:dyDescent="0.3">
      <c r="A6" s="59" t="s">
        <v>562</v>
      </c>
      <c r="C6" s="59" t="s">
        <v>563</v>
      </c>
      <c r="I6" s="59" t="s">
        <v>564</v>
      </c>
      <c r="K6" s="59" t="s">
        <v>565</v>
      </c>
      <c r="M6" s="59" t="s">
        <v>566</v>
      </c>
    </row>
    <row r="7" spans="1:19" x14ac:dyDescent="0.3">
      <c r="A7" s="59" t="s">
        <v>567</v>
      </c>
      <c r="M7" s="59" t="s">
        <v>568</v>
      </c>
    </row>
    <row r="8" spans="1:19" x14ac:dyDescent="0.3">
      <c r="A8" s="59" t="s">
        <v>569</v>
      </c>
      <c r="M8" s="59" t="s">
        <v>570</v>
      </c>
    </row>
    <row r="9" spans="1:19" x14ac:dyDescent="0.3">
      <c r="A9" s="59" t="s">
        <v>571</v>
      </c>
      <c r="M9" s="59" t="s">
        <v>572</v>
      </c>
    </row>
    <row r="10" spans="1:19" x14ac:dyDescent="0.3">
      <c r="M10" s="59" t="s">
        <v>573</v>
      </c>
    </row>
    <row r="11" spans="1:19" x14ac:dyDescent="0.3">
      <c r="M11" s="59" t="s">
        <v>574</v>
      </c>
    </row>
    <row r="12" spans="1:19" x14ac:dyDescent="0.3">
      <c r="M12" s="59" t="s">
        <v>575</v>
      </c>
    </row>
    <row r="13" spans="1:19" x14ac:dyDescent="0.3">
      <c r="M13" s="59" t="s">
        <v>576</v>
      </c>
    </row>
    <row r="14" spans="1:19" x14ac:dyDescent="0.3">
      <c r="M14" s="59" t="s">
        <v>577</v>
      </c>
    </row>
    <row r="15" spans="1:19" x14ac:dyDescent="0.3">
      <c r="M15" s="59" t="s">
        <v>578</v>
      </c>
    </row>
    <row r="16" spans="1:19" x14ac:dyDescent="0.3">
      <c r="M16" s="59" t="s">
        <v>579</v>
      </c>
    </row>
    <row r="17" spans="13:13" x14ac:dyDescent="0.3">
      <c r="M17" s="59" t="s">
        <v>580</v>
      </c>
    </row>
    <row r="18" spans="13:13" x14ac:dyDescent="0.3">
      <c r="M18" s="59" t="s">
        <v>581</v>
      </c>
    </row>
    <row r="19" spans="13:13" x14ac:dyDescent="0.3">
      <c r="M19" s="59" t="s">
        <v>582</v>
      </c>
    </row>
    <row r="20" spans="13:13" x14ac:dyDescent="0.3">
      <c r="M20" s="59" t="s">
        <v>583</v>
      </c>
    </row>
    <row r="21" spans="13:13" x14ac:dyDescent="0.3">
      <c r="M21" s="59" t="s">
        <v>584</v>
      </c>
    </row>
    <row r="22" spans="13:13" x14ac:dyDescent="0.3">
      <c r="M22" s="59" t="s">
        <v>585</v>
      </c>
    </row>
    <row r="23" spans="13:13" x14ac:dyDescent="0.3">
      <c r="M23" s="59" t="s">
        <v>586</v>
      </c>
    </row>
    <row r="24" spans="13:13" x14ac:dyDescent="0.3">
      <c r="M24" s="59" t="s">
        <v>587</v>
      </c>
    </row>
    <row r="25" spans="13:13" x14ac:dyDescent="0.3">
      <c r="M25" t="s">
        <v>588</v>
      </c>
    </row>
    <row r="26" spans="13:13" x14ac:dyDescent="0.3">
      <c r="M26" t="s">
        <v>589</v>
      </c>
    </row>
    <row r="27" spans="13:13" x14ac:dyDescent="0.3">
      <c r="M27" t="s">
        <v>590</v>
      </c>
    </row>
    <row r="28" spans="13:13" x14ac:dyDescent="0.3">
      <c r="M28" t="s">
        <v>591</v>
      </c>
    </row>
    <row r="29" spans="13:13" x14ac:dyDescent="0.3">
      <c r="M29" t="s">
        <v>592</v>
      </c>
    </row>
    <row r="30" spans="13:13" x14ac:dyDescent="0.3">
      <c r="M30" t="s">
        <v>593</v>
      </c>
    </row>
    <row r="31" spans="13:13" x14ac:dyDescent="0.3">
      <c r="M31" t="s">
        <v>594</v>
      </c>
    </row>
    <row r="32" spans="13:13" x14ac:dyDescent="0.3">
      <c r="M32" t="s">
        <v>595</v>
      </c>
    </row>
    <row r="33" spans="13:13" x14ac:dyDescent="0.3">
      <c r="M33" t="s">
        <v>596</v>
      </c>
    </row>
    <row r="34" spans="13:13" x14ac:dyDescent="0.3">
      <c r="M34" t="s">
        <v>597</v>
      </c>
    </row>
    <row r="35" spans="13:13" x14ac:dyDescent="0.3">
      <c r="M35" t="s">
        <v>598</v>
      </c>
    </row>
    <row r="36" spans="13:13" x14ac:dyDescent="0.3">
      <c r="M36" t="s">
        <v>599</v>
      </c>
    </row>
    <row r="37" spans="13:13" x14ac:dyDescent="0.3">
      <c r="M37" t="s">
        <v>600</v>
      </c>
    </row>
    <row r="38" spans="13:13" x14ac:dyDescent="0.3">
      <c r="M38" t="s">
        <v>601</v>
      </c>
    </row>
    <row r="39" spans="13:13" x14ac:dyDescent="0.3">
      <c r="M39" t="s">
        <v>602</v>
      </c>
    </row>
    <row r="40" spans="13:13" x14ac:dyDescent="0.3">
      <c r="M40" t="s">
        <v>603</v>
      </c>
    </row>
    <row r="41" spans="13:13" x14ac:dyDescent="0.3">
      <c r="M41" t="s">
        <v>604</v>
      </c>
    </row>
    <row r="42" spans="13:13" x14ac:dyDescent="0.3">
      <c r="M42" t="s">
        <v>605</v>
      </c>
    </row>
    <row r="43" spans="13:13" x14ac:dyDescent="0.3">
      <c r="M43" t="s">
        <v>606</v>
      </c>
    </row>
    <row r="44" spans="13:13" x14ac:dyDescent="0.3">
      <c r="M44" t="s">
        <v>607</v>
      </c>
    </row>
    <row r="45" spans="13:13" x14ac:dyDescent="0.3">
      <c r="M45" t="s">
        <v>608</v>
      </c>
    </row>
    <row r="46" spans="13:13" x14ac:dyDescent="0.3">
      <c r="M46" t="s">
        <v>609</v>
      </c>
    </row>
    <row r="47" spans="13:13" x14ac:dyDescent="0.3">
      <c r="M47" t="s">
        <v>610</v>
      </c>
    </row>
    <row r="48" spans="13:13" x14ac:dyDescent="0.3">
      <c r="M48" t="s">
        <v>611</v>
      </c>
    </row>
    <row r="49" spans="13:13" x14ac:dyDescent="0.3">
      <c r="M49" t="s">
        <v>612</v>
      </c>
    </row>
    <row r="50" spans="13:13" x14ac:dyDescent="0.3">
      <c r="M50" t="s">
        <v>613</v>
      </c>
    </row>
    <row r="51" spans="13:13" x14ac:dyDescent="0.3">
      <c r="M51" t="s">
        <v>614</v>
      </c>
    </row>
    <row r="52" spans="13:13" x14ac:dyDescent="0.3">
      <c r="M52" t="s">
        <v>615</v>
      </c>
    </row>
    <row r="53" spans="13:13" x14ac:dyDescent="0.3">
      <c r="M53" t="s">
        <v>616</v>
      </c>
    </row>
    <row r="54" spans="13:13" x14ac:dyDescent="0.3">
      <c r="M54" t="s">
        <v>617</v>
      </c>
    </row>
    <row r="55" spans="13:13" x14ac:dyDescent="0.3">
      <c r="M55" t="s">
        <v>618</v>
      </c>
    </row>
    <row r="56" spans="13:13" x14ac:dyDescent="0.3">
      <c r="M56" t="s">
        <v>619</v>
      </c>
    </row>
    <row r="57" spans="13:13" x14ac:dyDescent="0.3">
      <c r="M57" t="s">
        <v>620</v>
      </c>
    </row>
    <row r="58" spans="13:13" x14ac:dyDescent="0.3">
      <c r="M58" t="s">
        <v>621</v>
      </c>
    </row>
    <row r="59" spans="13:13" x14ac:dyDescent="0.3">
      <c r="M59" t="s">
        <v>622</v>
      </c>
    </row>
    <row r="60" spans="13:13" x14ac:dyDescent="0.3">
      <c r="M60" t="s">
        <v>623</v>
      </c>
    </row>
    <row r="61" spans="13:13" x14ac:dyDescent="0.3">
      <c r="M61" t="s">
        <v>624</v>
      </c>
    </row>
    <row r="62" spans="13:13" x14ac:dyDescent="0.3">
      <c r="M62" t="s">
        <v>625</v>
      </c>
    </row>
    <row r="63" spans="13:13" x14ac:dyDescent="0.3">
      <c r="M63" t="s">
        <v>626</v>
      </c>
    </row>
    <row r="64" spans="13:13" x14ac:dyDescent="0.3">
      <c r="M64" t="s">
        <v>627</v>
      </c>
    </row>
    <row r="65" spans="13:13" x14ac:dyDescent="0.3">
      <c r="M65" t="s">
        <v>628</v>
      </c>
    </row>
    <row r="66" spans="13:13" x14ac:dyDescent="0.3">
      <c r="M66" t="s">
        <v>629</v>
      </c>
    </row>
    <row r="67" spans="13:13" x14ac:dyDescent="0.3">
      <c r="M67" t="s">
        <v>630</v>
      </c>
    </row>
    <row r="68" spans="13:13" x14ac:dyDescent="0.3">
      <c r="M68" t="s">
        <v>631</v>
      </c>
    </row>
    <row r="69" spans="13:13" x14ac:dyDescent="0.3">
      <c r="M69" t="s">
        <v>632</v>
      </c>
    </row>
    <row r="70" spans="13:13" x14ac:dyDescent="0.3">
      <c r="M70" t="s">
        <v>633</v>
      </c>
    </row>
    <row r="71" spans="13:13" x14ac:dyDescent="0.3">
      <c r="M71" t="s">
        <v>634</v>
      </c>
    </row>
    <row r="72" spans="13:13" x14ac:dyDescent="0.3">
      <c r="M72" t="s">
        <v>635</v>
      </c>
    </row>
    <row r="73" spans="13:13" x14ac:dyDescent="0.3">
      <c r="M73" t="s">
        <v>636</v>
      </c>
    </row>
    <row r="74" spans="13:13" x14ac:dyDescent="0.3">
      <c r="M74" t="s">
        <v>637</v>
      </c>
    </row>
    <row r="75" spans="13:13" x14ac:dyDescent="0.3">
      <c r="M75" t="s">
        <v>638</v>
      </c>
    </row>
    <row r="76" spans="13:13" x14ac:dyDescent="0.3">
      <c r="M76" t="s">
        <v>639</v>
      </c>
    </row>
    <row r="77" spans="13:13" x14ac:dyDescent="0.3">
      <c r="M77" t="s">
        <v>640</v>
      </c>
    </row>
    <row r="78" spans="13:13" x14ac:dyDescent="0.3">
      <c r="M78" t="s">
        <v>641</v>
      </c>
    </row>
    <row r="79" spans="13:13" x14ac:dyDescent="0.3">
      <c r="M79" t="s">
        <v>642</v>
      </c>
    </row>
    <row r="80" spans="13:13" x14ac:dyDescent="0.3">
      <c r="M80" t="s">
        <v>643</v>
      </c>
    </row>
    <row r="81" spans="13:13" x14ac:dyDescent="0.3">
      <c r="M81" t="s">
        <v>644</v>
      </c>
    </row>
    <row r="82" spans="13:13" x14ac:dyDescent="0.3">
      <c r="M82" t="s">
        <v>645</v>
      </c>
    </row>
    <row r="83" spans="13:13" x14ac:dyDescent="0.3">
      <c r="M83" t="s">
        <v>646</v>
      </c>
    </row>
    <row r="84" spans="13:13" x14ac:dyDescent="0.3">
      <c r="M84" t="s">
        <v>647</v>
      </c>
    </row>
    <row r="85" spans="13:13" x14ac:dyDescent="0.3">
      <c r="M85" t="s">
        <v>648</v>
      </c>
    </row>
    <row r="86" spans="13:13" x14ac:dyDescent="0.3">
      <c r="M86" t="s">
        <v>649</v>
      </c>
    </row>
    <row r="87" spans="13:13" x14ac:dyDescent="0.3">
      <c r="M87" t="s">
        <v>650</v>
      </c>
    </row>
    <row r="88" spans="13:13" x14ac:dyDescent="0.3">
      <c r="M88" t="s">
        <v>651</v>
      </c>
    </row>
    <row r="89" spans="13:13" x14ac:dyDescent="0.3">
      <c r="M89" t="s">
        <v>652</v>
      </c>
    </row>
    <row r="90" spans="13:13" x14ac:dyDescent="0.3">
      <c r="M90" t="s">
        <v>653</v>
      </c>
    </row>
    <row r="91" spans="13:13" x14ac:dyDescent="0.3">
      <c r="M91" t="s">
        <v>654</v>
      </c>
    </row>
    <row r="92" spans="13:13" x14ac:dyDescent="0.3">
      <c r="M92" t="s">
        <v>655</v>
      </c>
    </row>
    <row r="93" spans="13:13" x14ac:dyDescent="0.3">
      <c r="M93" t="s">
        <v>656</v>
      </c>
    </row>
    <row r="94" spans="13:13" x14ac:dyDescent="0.3">
      <c r="M94" t="s">
        <v>657</v>
      </c>
    </row>
    <row r="95" spans="13:13" x14ac:dyDescent="0.3">
      <c r="M95" t="s">
        <v>658</v>
      </c>
    </row>
    <row r="96" spans="13:13" x14ac:dyDescent="0.3">
      <c r="M96" t="s">
        <v>659</v>
      </c>
    </row>
    <row r="97" spans="13:13" x14ac:dyDescent="0.3">
      <c r="M97" t="s">
        <v>660</v>
      </c>
    </row>
    <row r="98" spans="13:13" x14ac:dyDescent="0.3">
      <c r="M98" t="s">
        <v>661</v>
      </c>
    </row>
    <row r="99" spans="13:13" x14ac:dyDescent="0.3">
      <c r="M99" t="s">
        <v>662</v>
      </c>
    </row>
    <row r="100" spans="13:13" x14ac:dyDescent="0.3">
      <c r="M100" t="s">
        <v>663</v>
      </c>
    </row>
    <row r="101" spans="13:13" x14ac:dyDescent="0.3">
      <c r="M101" t="s">
        <v>664</v>
      </c>
    </row>
    <row r="102" spans="13:13" x14ac:dyDescent="0.3">
      <c r="M102" t="s">
        <v>665</v>
      </c>
    </row>
    <row r="103" spans="13:13" x14ac:dyDescent="0.3">
      <c r="M103" t="s">
        <v>666</v>
      </c>
    </row>
    <row r="104" spans="13:13" x14ac:dyDescent="0.3">
      <c r="M104" t="s">
        <v>667</v>
      </c>
    </row>
    <row r="105" spans="13:13" x14ac:dyDescent="0.3">
      <c r="M105" t="s">
        <v>668</v>
      </c>
    </row>
    <row r="106" spans="13:13" x14ac:dyDescent="0.3">
      <c r="M106" t="s">
        <v>669</v>
      </c>
    </row>
    <row r="107" spans="13:13" x14ac:dyDescent="0.3">
      <c r="M107" t="s">
        <v>670</v>
      </c>
    </row>
    <row r="108" spans="13:13" x14ac:dyDescent="0.3">
      <c r="M108" t="s">
        <v>671</v>
      </c>
    </row>
    <row r="109" spans="13:13" x14ac:dyDescent="0.3">
      <c r="M109" t="s">
        <v>672</v>
      </c>
    </row>
    <row r="110" spans="13:13" x14ac:dyDescent="0.3">
      <c r="M110" t="s">
        <v>673</v>
      </c>
    </row>
    <row r="111" spans="13:13" x14ac:dyDescent="0.3">
      <c r="M111" t="s">
        <v>674</v>
      </c>
    </row>
    <row r="112" spans="13:13" x14ac:dyDescent="0.3">
      <c r="M112" t="s">
        <v>675</v>
      </c>
    </row>
    <row r="113" spans="13:13" x14ac:dyDescent="0.3">
      <c r="M113" t="s">
        <v>676</v>
      </c>
    </row>
    <row r="114" spans="13:13" x14ac:dyDescent="0.3">
      <c r="M114" t="s">
        <v>677</v>
      </c>
    </row>
    <row r="115" spans="13:13" x14ac:dyDescent="0.3">
      <c r="M115" t="s">
        <v>678</v>
      </c>
    </row>
    <row r="116" spans="13:13" x14ac:dyDescent="0.3">
      <c r="M116" t="s">
        <v>679</v>
      </c>
    </row>
    <row r="117" spans="13:13" x14ac:dyDescent="0.3">
      <c r="M117" t="s">
        <v>680</v>
      </c>
    </row>
    <row r="118" spans="13:13" x14ac:dyDescent="0.3">
      <c r="M118" t="s">
        <v>681</v>
      </c>
    </row>
    <row r="119" spans="13:13" x14ac:dyDescent="0.3">
      <c r="M119" t="s">
        <v>682</v>
      </c>
    </row>
    <row r="120" spans="13:13" x14ac:dyDescent="0.3">
      <c r="M120" t="s">
        <v>683</v>
      </c>
    </row>
    <row r="121" spans="13:13" x14ac:dyDescent="0.3">
      <c r="M121" t="s">
        <v>684</v>
      </c>
    </row>
    <row r="122" spans="13:13" x14ac:dyDescent="0.3">
      <c r="M122" t="s">
        <v>685</v>
      </c>
    </row>
    <row r="123" spans="13:13" x14ac:dyDescent="0.3">
      <c r="M123" t="s">
        <v>686</v>
      </c>
    </row>
    <row r="124" spans="13:13" x14ac:dyDescent="0.3">
      <c r="M124" t="s">
        <v>687</v>
      </c>
    </row>
    <row r="125" spans="13:13" x14ac:dyDescent="0.3">
      <c r="M125" t="s">
        <v>688</v>
      </c>
    </row>
    <row r="126" spans="13:13" x14ac:dyDescent="0.3">
      <c r="M126" t="s">
        <v>689</v>
      </c>
    </row>
    <row r="127" spans="13:13" x14ac:dyDescent="0.3">
      <c r="M127" t="s">
        <v>690</v>
      </c>
    </row>
    <row r="128" spans="13:13" x14ac:dyDescent="0.3">
      <c r="M128" t="s">
        <v>691</v>
      </c>
    </row>
    <row r="129" spans="13:13" x14ac:dyDescent="0.3">
      <c r="M129" t="s">
        <v>692</v>
      </c>
    </row>
    <row r="130" spans="13:13" x14ac:dyDescent="0.3">
      <c r="M130" t="s">
        <v>693</v>
      </c>
    </row>
    <row r="131" spans="13:13" x14ac:dyDescent="0.3">
      <c r="M131" t="s">
        <v>694</v>
      </c>
    </row>
    <row r="132" spans="13:13" x14ac:dyDescent="0.3">
      <c r="M132" t="s">
        <v>695</v>
      </c>
    </row>
    <row r="133" spans="13:13" x14ac:dyDescent="0.3">
      <c r="M133" t="s">
        <v>696</v>
      </c>
    </row>
    <row r="134" spans="13:13" x14ac:dyDescent="0.3">
      <c r="M134" t="s">
        <v>697</v>
      </c>
    </row>
    <row r="135" spans="13:13" x14ac:dyDescent="0.3">
      <c r="M135" t="s">
        <v>698</v>
      </c>
    </row>
    <row r="136" spans="13:13" x14ac:dyDescent="0.3">
      <c r="M136" t="s">
        <v>699</v>
      </c>
    </row>
    <row r="137" spans="13:13" x14ac:dyDescent="0.3">
      <c r="M137" t="s">
        <v>700</v>
      </c>
    </row>
    <row r="138" spans="13:13" x14ac:dyDescent="0.3">
      <c r="M138" t="s">
        <v>701</v>
      </c>
    </row>
    <row r="139" spans="13:13" x14ac:dyDescent="0.3">
      <c r="M139" t="s">
        <v>702</v>
      </c>
    </row>
    <row r="140" spans="13:13" x14ac:dyDescent="0.3">
      <c r="M140" t="s">
        <v>703</v>
      </c>
    </row>
    <row r="141" spans="13:13" x14ac:dyDescent="0.3">
      <c r="M141" t="s">
        <v>704</v>
      </c>
    </row>
    <row r="142" spans="13:13" x14ac:dyDescent="0.3">
      <c r="M142" t="s">
        <v>705</v>
      </c>
    </row>
    <row r="143" spans="13:13" x14ac:dyDescent="0.3">
      <c r="M143" t="s">
        <v>706</v>
      </c>
    </row>
    <row r="144" spans="13:13" x14ac:dyDescent="0.3">
      <c r="M144" t="s">
        <v>707</v>
      </c>
    </row>
    <row r="145" spans="13:13" x14ac:dyDescent="0.3">
      <c r="M145" t="s">
        <v>708</v>
      </c>
    </row>
    <row r="146" spans="13:13" x14ac:dyDescent="0.3">
      <c r="M146" t="s">
        <v>709</v>
      </c>
    </row>
    <row r="147" spans="13:13" x14ac:dyDescent="0.3">
      <c r="M147" t="s">
        <v>710</v>
      </c>
    </row>
    <row r="148" spans="13:13" x14ac:dyDescent="0.3">
      <c r="M148" t="s">
        <v>711</v>
      </c>
    </row>
    <row r="149" spans="13:13" x14ac:dyDescent="0.3">
      <c r="M149" t="s">
        <v>712</v>
      </c>
    </row>
    <row r="150" spans="13:13" x14ac:dyDescent="0.3">
      <c r="M150" t="s">
        <v>713</v>
      </c>
    </row>
    <row r="151" spans="13:13" x14ac:dyDescent="0.3">
      <c r="M151" t="s">
        <v>714</v>
      </c>
    </row>
    <row r="152" spans="13:13" x14ac:dyDescent="0.3">
      <c r="M152" t="s">
        <v>715</v>
      </c>
    </row>
    <row r="153" spans="13:13" x14ac:dyDescent="0.3">
      <c r="M153" t="s">
        <v>716</v>
      </c>
    </row>
    <row r="154" spans="13:13" x14ac:dyDescent="0.3">
      <c r="M154" t="s">
        <v>717</v>
      </c>
    </row>
    <row r="155" spans="13:13" x14ac:dyDescent="0.3">
      <c r="M155" t="s">
        <v>718</v>
      </c>
    </row>
    <row r="156" spans="13:13" x14ac:dyDescent="0.3">
      <c r="M156" t="s">
        <v>719</v>
      </c>
    </row>
    <row r="157" spans="13:13" x14ac:dyDescent="0.3">
      <c r="M157" t="s">
        <v>720</v>
      </c>
    </row>
    <row r="158" spans="13:13" x14ac:dyDescent="0.3">
      <c r="M158" t="s">
        <v>721</v>
      </c>
    </row>
    <row r="159" spans="13:13" x14ac:dyDescent="0.3">
      <c r="M159" t="s">
        <v>722</v>
      </c>
    </row>
    <row r="160" spans="13:13" x14ac:dyDescent="0.3">
      <c r="M160" t="s">
        <v>723</v>
      </c>
    </row>
    <row r="161" spans="13:13" x14ac:dyDescent="0.3">
      <c r="M161" t="s">
        <v>724</v>
      </c>
    </row>
    <row r="162" spans="13:13" x14ac:dyDescent="0.3">
      <c r="M162" t="s">
        <v>725</v>
      </c>
    </row>
    <row r="163" spans="13:13" x14ac:dyDescent="0.3">
      <c r="M163" t="s">
        <v>726</v>
      </c>
    </row>
    <row r="164" spans="13:13" x14ac:dyDescent="0.3">
      <c r="M164" t="s">
        <v>727</v>
      </c>
    </row>
    <row r="165" spans="13:13" x14ac:dyDescent="0.3">
      <c r="M165" t="s">
        <v>728</v>
      </c>
    </row>
    <row r="166" spans="13:13" x14ac:dyDescent="0.3">
      <c r="M166" t="s">
        <v>729</v>
      </c>
    </row>
    <row r="167" spans="13:13" x14ac:dyDescent="0.3">
      <c r="M167" t="s">
        <v>730</v>
      </c>
    </row>
    <row r="168" spans="13:13" x14ac:dyDescent="0.3">
      <c r="M168" t="s">
        <v>731</v>
      </c>
    </row>
    <row r="169" spans="13:13" x14ac:dyDescent="0.3">
      <c r="M169" t="s">
        <v>732</v>
      </c>
    </row>
    <row r="170" spans="13:13" x14ac:dyDescent="0.3">
      <c r="M170" t="s">
        <v>733</v>
      </c>
    </row>
    <row r="171" spans="13:13" x14ac:dyDescent="0.3">
      <c r="M171" t="s">
        <v>734</v>
      </c>
    </row>
    <row r="172" spans="13:13" x14ac:dyDescent="0.3">
      <c r="M172" t="s">
        <v>735</v>
      </c>
    </row>
    <row r="173" spans="13:13" x14ac:dyDescent="0.3">
      <c r="M173" t="s">
        <v>736</v>
      </c>
    </row>
    <row r="174" spans="13:13" x14ac:dyDescent="0.3">
      <c r="M174" t="s">
        <v>737</v>
      </c>
    </row>
    <row r="175" spans="13:13" x14ac:dyDescent="0.3">
      <c r="M175" t="s">
        <v>738</v>
      </c>
    </row>
    <row r="176" spans="13:13" x14ac:dyDescent="0.3">
      <c r="M176" t="s">
        <v>739</v>
      </c>
    </row>
    <row r="177" spans="13:13" x14ac:dyDescent="0.3">
      <c r="M177" t="s">
        <v>740</v>
      </c>
    </row>
    <row r="178" spans="13:13" x14ac:dyDescent="0.3">
      <c r="M178" t="s">
        <v>741</v>
      </c>
    </row>
    <row r="179" spans="13:13" x14ac:dyDescent="0.3">
      <c r="M179" t="s">
        <v>742</v>
      </c>
    </row>
    <row r="180" spans="13:13" x14ac:dyDescent="0.3">
      <c r="M180" t="s">
        <v>743</v>
      </c>
    </row>
    <row r="181" spans="13:13" x14ac:dyDescent="0.3">
      <c r="M181" t="s">
        <v>744</v>
      </c>
    </row>
    <row r="182" spans="13:13" x14ac:dyDescent="0.3">
      <c r="M182" t="s">
        <v>745</v>
      </c>
    </row>
    <row r="183" spans="13:13" x14ac:dyDescent="0.3">
      <c r="M183" t="s">
        <v>746</v>
      </c>
    </row>
    <row r="184" spans="13:13" x14ac:dyDescent="0.3">
      <c r="M184" t="s">
        <v>747</v>
      </c>
    </row>
    <row r="185" spans="13:13" x14ac:dyDescent="0.3">
      <c r="M185" t="s">
        <v>748</v>
      </c>
    </row>
    <row r="186" spans="13:13" x14ac:dyDescent="0.3">
      <c r="M186" t="s">
        <v>749</v>
      </c>
    </row>
    <row r="187" spans="13:13" x14ac:dyDescent="0.3">
      <c r="M187" t="s">
        <v>750</v>
      </c>
    </row>
    <row r="188" spans="13:13" x14ac:dyDescent="0.3">
      <c r="M188" t="s">
        <v>751</v>
      </c>
    </row>
    <row r="189" spans="13:13" x14ac:dyDescent="0.3">
      <c r="M189" t="s">
        <v>752</v>
      </c>
    </row>
    <row r="190" spans="13:13" x14ac:dyDescent="0.3">
      <c r="M190" t="s">
        <v>753</v>
      </c>
    </row>
    <row r="191" spans="13:13" x14ac:dyDescent="0.3">
      <c r="M191" t="s">
        <v>754</v>
      </c>
    </row>
    <row r="192" spans="13:13" x14ac:dyDescent="0.3">
      <c r="M192" t="s">
        <v>755</v>
      </c>
    </row>
    <row r="193" spans="13:13" x14ac:dyDescent="0.3">
      <c r="M193" t="s">
        <v>756</v>
      </c>
    </row>
    <row r="194" spans="13:13" x14ac:dyDescent="0.3">
      <c r="M194" t="s">
        <v>757</v>
      </c>
    </row>
    <row r="195" spans="13:13" x14ac:dyDescent="0.3">
      <c r="M195" t="s">
        <v>758</v>
      </c>
    </row>
    <row r="196" spans="13:13" x14ac:dyDescent="0.3">
      <c r="M196" t="s">
        <v>759</v>
      </c>
    </row>
    <row r="197" spans="13:13" x14ac:dyDescent="0.3">
      <c r="M197" t="s">
        <v>760</v>
      </c>
    </row>
    <row r="198" spans="13:13" x14ac:dyDescent="0.3">
      <c r="M198" t="s">
        <v>761</v>
      </c>
    </row>
    <row r="199" spans="13:13" x14ac:dyDescent="0.3">
      <c r="M199" t="s">
        <v>762</v>
      </c>
    </row>
    <row r="200" spans="13:13" x14ac:dyDescent="0.3">
      <c r="M200" t="s">
        <v>763</v>
      </c>
    </row>
    <row r="201" spans="13:13" x14ac:dyDescent="0.3">
      <c r="M201" t="s">
        <v>764</v>
      </c>
    </row>
    <row r="202" spans="13:13" x14ac:dyDescent="0.3">
      <c r="M202" t="s">
        <v>765</v>
      </c>
    </row>
    <row r="203" spans="13:13" x14ac:dyDescent="0.3">
      <c r="M203" t="s">
        <v>766</v>
      </c>
    </row>
    <row r="204" spans="13:13" x14ac:dyDescent="0.3">
      <c r="M204" t="s">
        <v>767</v>
      </c>
    </row>
    <row r="205" spans="13:13" x14ac:dyDescent="0.3">
      <c r="M205" t="s">
        <v>768</v>
      </c>
    </row>
    <row r="206" spans="13:13" x14ac:dyDescent="0.3">
      <c r="M206" t="s">
        <v>769</v>
      </c>
    </row>
    <row r="207" spans="13:13" x14ac:dyDescent="0.3">
      <c r="M207" t="s">
        <v>770</v>
      </c>
    </row>
    <row r="208" spans="13:13" x14ac:dyDescent="0.3">
      <c r="M208" t="s">
        <v>771</v>
      </c>
    </row>
    <row r="209" spans="13:13" x14ac:dyDescent="0.3">
      <c r="M209" t="s">
        <v>772</v>
      </c>
    </row>
    <row r="210" spans="13:13" x14ac:dyDescent="0.3">
      <c r="M210" t="s">
        <v>773</v>
      </c>
    </row>
    <row r="211" spans="13:13" x14ac:dyDescent="0.3">
      <c r="M211" t="s">
        <v>774</v>
      </c>
    </row>
    <row r="212" spans="13:13" x14ac:dyDescent="0.3">
      <c r="M212" t="s">
        <v>775</v>
      </c>
    </row>
    <row r="213" spans="13:13" x14ac:dyDescent="0.3">
      <c r="M213" t="s">
        <v>776</v>
      </c>
    </row>
    <row r="214" spans="13:13" x14ac:dyDescent="0.3">
      <c r="M214" t="s">
        <v>777</v>
      </c>
    </row>
    <row r="215" spans="13:13" x14ac:dyDescent="0.3">
      <c r="M215" t="s">
        <v>778</v>
      </c>
    </row>
    <row r="216" spans="13:13" x14ac:dyDescent="0.3">
      <c r="M216" t="s">
        <v>779</v>
      </c>
    </row>
    <row r="217" spans="13:13" x14ac:dyDescent="0.3">
      <c r="M217" t="s">
        <v>780</v>
      </c>
    </row>
    <row r="218" spans="13:13" x14ac:dyDescent="0.3">
      <c r="M218" t="s">
        <v>781</v>
      </c>
    </row>
    <row r="219" spans="13:13" x14ac:dyDescent="0.3">
      <c r="M219" t="s">
        <v>782</v>
      </c>
    </row>
    <row r="220" spans="13:13" x14ac:dyDescent="0.3">
      <c r="M220" t="s">
        <v>783</v>
      </c>
    </row>
    <row r="221" spans="13:13" x14ac:dyDescent="0.3">
      <c r="M221" t="s">
        <v>784</v>
      </c>
    </row>
    <row r="222" spans="13:13" x14ac:dyDescent="0.3">
      <c r="M222" t="s">
        <v>555</v>
      </c>
    </row>
    <row r="223" spans="13:13" x14ac:dyDescent="0.3">
      <c r="M223" t="s">
        <v>785</v>
      </c>
    </row>
    <row r="224" spans="13:13" x14ac:dyDescent="0.3">
      <c r="M224" t="s">
        <v>562</v>
      </c>
    </row>
    <row r="225" spans="13:13" x14ac:dyDescent="0.3">
      <c r="M225" t="s">
        <v>786</v>
      </c>
    </row>
    <row r="226" spans="13:13" x14ac:dyDescent="0.3">
      <c r="M226" t="s">
        <v>787</v>
      </c>
    </row>
    <row r="227" spans="13:13" x14ac:dyDescent="0.3">
      <c r="M227" t="s">
        <v>788</v>
      </c>
    </row>
    <row r="228" spans="13:13" x14ac:dyDescent="0.3">
      <c r="M228" t="s">
        <v>789</v>
      </c>
    </row>
    <row r="229" spans="13:13" x14ac:dyDescent="0.3">
      <c r="M229" t="s">
        <v>790</v>
      </c>
    </row>
    <row r="230" spans="13:13" x14ac:dyDescent="0.3">
      <c r="M230" t="s">
        <v>791</v>
      </c>
    </row>
    <row r="231" spans="13:13" x14ac:dyDescent="0.3">
      <c r="M231" t="s">
        <v>792</v>
      </c>
    </row>
    <row r="232" spans="13:13" x14ac:dyDescent="0.3">
      <c r="M232" t="s">
        <v>793</v>
      </c>
    </row>
    <row r="233" spans="13:13" x14ac:dyDescent="0.3">
      <c r="M233" t="s">
        <v>794</v>
      </c>
    </row>
    <row r="234" spans="13:13" x14ac:dyDescent="0.3">
      <c r="M234" t="s">
        <v>795</v>
      </c>
    </row>
    <row r="235" spans="13:13" x14ac:dyDescent="0.3">
      <c r="M235" t="s">
        <v>796</v>
      </c>
    </row>
    <row r="236" spans="13:13" x14ac:dyDescent="0.3">
      <c r="M236" t="s">
        <v>797</v>
      </c>
    </row>
    <row r="237" spans="13:13" x14ac:dyDescent="0.3">
      <c r="M237" t="s">
        <v>798</v>
      </c>
    </row>
    <row r="238" spans="13:13" x14ac:dyDescent="0.3">
      <c r="M238" t="s">
        <v>799</v>
      </c>
    </row>
    <row r="239" spans="13:13" x14ac:dyDescent="0.3">
      <c r="M239" t="s">
        <v>800</v>
      </c>
    </row>
    <row r="240" spans="13:13" x14ac:dyDescent="0.3">
      <c r="M240" t="s">
        <v>801</v>
      </c>
    </row>
    <row r="241" spans="13:13" x14ac:dyDescent="0.3">
      <c r="M241" t="s">
        <v>802</v>
      </c>
    </row>
    <row r="242" spans="13:13" x14ac:dyDescent="0.3">
      <c r="M242" t="s">
        <v>803</v>
      </c>
    </row>
    <row r="243" spans="13:13" x14ac:dyDescent="0.3">
      <c r="M243" t="s">
        <v>804</v>
      </c>
    </row>
    <row r="244" spans="13:13" x14ac:dyDescent="0.3">
      <c r="M244" t="s">
        <v>805</v>
      </c>
    </row>
    <row r="245" spans="13:13" x14ac:dyDescent="0.3">
      <c r="M245" t="s">
        <v>806</v>
      </c>
    </row>
    <row r="246" spans="13:13" x14ac:dyDescent="0.3">
      <c r="M246" t="s">
        <v>807</v>
      </c>
    </row>
    <row r="247" spans="13:13" x14ac:dyDescent="0.3">
      <c r="M247" t="s">
        <v>808</v>
      </c>
    </row>
    <row r="248" spans="13:13" x14ac:dyDescent="0.3">
      <c r="M248" t="s">
        <v>809</v>
      </c>
    </row>
    <row r="249" spans="13:13" x14ac:dyDescent="0.3">
      <c r="M249" t="s">
        <v>810</v>
      </c>
    </row>
    <row r="250" spans="13:13" x14ac:dyDescent="0.3">
      <c r="M250" t="s">
        <v>811</v>
      </c>
    </row>
    <row r="251" spans="13:13" x14ac:dyDescent="0.3">
      <c r="M251" t="s">
        <v>812</v>
      </c>
    </row>
    <row r="252" spans="13:13" x14ac:dyDescent="0.3">
      <c r="M252" t="s">
        <v>813</v>
      </c>
    </row>
    <row r="253" spans="13:13" x14ac:dyDescent="0.3">
      <c r="M253" t="s">
        <v>814</v>
      </c>
    </row>
    <row r="254" spans="13:13" x14ac:dyDescent="0.3">
      <c r="M254" t="s">
        <v>815</v>
      </c>
    </row>
    <row r="255" spans="13:13" x14ac:dyDescent="0.3">
      <c r="M255" t="s">
        <v>816</v>
      </c>
    </row>
    <row r="256" spans="13:13" x14ac:dyDescent="0.3">
      <c r="M256" t="s">
        <v>817</v>
      </c>
    </row>
    <row r="257" spans="13:13" x14ac:dyDescent="0.3">
      <c r="M257" t="s">
        <v>818</v>
      </c>
    </row>
    <row r="258" spans="13:13" x14ac:dyDescent="0.3">
      <c r="M258" t="s">
        <v>819</v>
      </c>
    </row>
    <row r="259" spans="13:13" x14ac:dyDescent="0.3">
      <c r="M259" t="s">
        <v>820</v>
      </c>
    </row>
    <row r="260" spans="13:13" x14ac:dyDescent="0.3">
      <c r="M260" t="s">
        <v>821</v>
      </c>
    </row>
    <row r="261" spans="13:13" x14ac:dyDescent="0.3">
      <c r="M261" t="s">
        <v>822</v>
      </c>
    </row>
    <row r="262" spans="13:13" x14ac:dyDescent="0.3">
      <c r="M262" t="s">
        <v>823</v>
      </c>
    </row>
    <row r="263" spans="13:13" x14ac:dyDescent="0.3">
      <c r="M263" t="s">
        <v>824</v>
      </c>
    </row>
    <row r="264" spans="13:13" x14ac:dyDescent="0.3">
      <c r="M264" t="s">
        <v>825</v>
      </c>
    </row>
    <row r="265" spans="13:13" x14ac:dyDescent="0.3">
      <c r="M265" t="s">
        <v>826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71D4F0A56F8E54E8FC442C85A2F5CC2" ma:contentTypeVersion="11" ma:contentTypeDescription="Create a new document." ma:contentTypeScope="" ma:versionID="85d2ca724ac37ed122b11d9f52638442">
  <xsd:schema xmlns:xsd="http://www.w3.org/2001/XMLSchema" xmlns:xs="http://www.w3.org/2001/XMLSchema" xmlns:p="http://schemas.microsoft.com/office/2006/metadata/properties" xmlns:ns2="577d0bd1-a7a8-4a87-ac81-7c896456ad81" xmlns:ns3="8421713f-74f6-4788-bbc4-a2dca4d7e2ab" targetNamespace="http://schemas.microsoft.com/office/2006/metadata/properties" ma:root="true" ma:fieldsID="3291ea42e10a2627f952777819c0385c" ns2:_="" ns3:_="">
    <xsd:import namespace="577d0bd1-a7a8-4a87-ac81-7c896456ad81"/>
    <xsd:import namespace="8421713f-74f6-4788-bbc4-a2dca4d7e2a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7d0bd1-a7a8-4a87-ac81-7c896456a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21713f-74f6-4788-bbc4-a2dca4d7e2a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F71F43-878A-4647-9B6C-2C75BEE9705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8152DB3-6EEC-4202-A648-714644D5DB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7d0bd1-a7a8-4a87-ac81-7c896456ad81"/>
    <ds:schemaRef ds:uri="8421713f-74f6-4788-bbc4-a2dca4d7e2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875690-1164-4F5D-916F-C22DA8FD1C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21</vt:i4>
      </vt:variant>
    </vt:vector>
  </HeadingPairs>
  <TitlesOfParts>
    <vt:vector size="32" baseType="lpstr">
      <vt:lpstr>Document Control</vt:lpstr>
      <vt:lpstr>UI Mockup</vt:lpstr>
      <vt:lpstr>UI Fields</vt:lpstr>
      <vt:lpstr>Typelists</vt:lpstr>
      <vt:lpstr>UI Validation &amp; Business Rules</vt:lpstr>
      <vt:lpstr>Action Items</vt:lpstr>
      <vt:lpstr>Business Acceptance</vt:lpstr>
      <vt:lpstr>UI Final</vt:lpstr>
      <vt:lpstr>Implementation Details</vt:lpstr>
      <vt:lpstr>Estimation</vt:lpstr>
      <vt:lpstr>Dropdown Lists</vt:lpstr>
      <vt:lpstr>Alignment</vt:lpstr>
      <vt:lpstr>BusinessProcessFlowLinks</vt:lpstr>
      <vt:lpstr>BusinessValue</vt:lpstr>
      <vt:lpstr>ChangeSummary</vt:lpstr>
      <vt:lpstr>CustomerAssumptions</vt:lpstr>
      <vt:lpstr>CustomerDescription</vt:lpstr>
      <vt:lpstr>CustomerPoints</vt:lpstr>
      <vt:lpstr>Description</vt:lpstr>
      <vt:lpstr>FastPathFactor</vt:lpstr>
      <vt:lpstr>GWID</vt:lpstr>
      <vt:lpstr>isFastPath</vt:lpstr>
      <vt:lpstr>Product</vt:lpstr>
      <vt:lpstr>RiskRating</vt:lpstr>
      <vt:lpstr>StoryAssumptions</vt:lpstr>
      <vt:lpstr>StoryName</vt:lpstr>
      <vt:lpstr>StoryNumber</vt:lpstr>
      <vt:lpstr>StoryPoints</vt:lpstr>
      <vt:lpstr>StoryType</vt:lpstr>
      <vt:lpstr>Theme</vt:lpstr>
      <vt:lpstr>ValueScore</vt:lpstr>
      <vt:lpstr>WorkBucketType</vt:lpstr>
    </vt:vector>
  </TitlesOfParts>
  <Manager/>
  <Company>Guidewire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Emer Fallon</dc:creator>
  <cp:keywords/>
  <dc:description/>
  <cp:lastModifiedBy>Sumanth Nagolu</cp:lastModifiedBy>
  <cp:revision/>
  <dcterms:created xsi:type="dcterms:W3CDTF">2006-06-01T00:00:19Z</dcterms:created>
  <dcterms:modified xsi:type="dcterms:W3CDTF">2025-02-10T09:15:14Z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0x010100871D4F0A56F8E54E8FC442C85A2F5CC2</vt:lpwstr>
  </property>
  <property fmtid="{D5CDD505-2E9C-101B-9397-08002B2CF9AE}" pid="3" name="Order">
    <vt:r8>153900</vt:r8>
  </property>
</Properties>
</file>